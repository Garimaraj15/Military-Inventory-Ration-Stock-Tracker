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\Desktop\Military-Inventory-Ration-Stock-Tracker\"/>
    </mc:Choice>
  </mc:AlternateContent>
  <xr:revisionPtr revIDLastSave="0" documentId="13_ncr:1_{E7A746FF-0CB3-4127-9099-E3E80F203826}" xr6:coauthVersionLast="47" xr6:coauthVersionMax="47" xr10:uidLastSave="{00000000-0000-0000-0000-000000000000}"/>
  <bookViews>
    <workbookView xWindow="-108" yWindow="-108" windowWidth="23256" windowHeight="12456" activeTab="2" xr2:uid="{10A7E13E-2C90-47F4-9C5C-3E58114C479D}"/>
  </bookViews>
  <sheets>
    <sheet name="Dashboard" sheetId="1" r:id="rId1"/>
    <sheet name="Inventory" sheetId="2" r:id="rId2"/>
    <sheet name="Lookup" sheetId="3" r:id="rId3"/>
    <sheet name="Reports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27" i="1" l="1"/>
  <c r="I126" i="1"/>
  <c r="I125" i="1"/>
  <c r="S23" i="1"/>
  <c r="S24" i="1"/>
  <c r="S25" i="1"/>
  <c r="B13" i="4"/>
  <c r="B12" i="4"/>
  <c r="B11" i="4"/>
  <c r="B10" i="4"/>
  <c r="B9" i="4"/>
  <c r="B8" i="4"/>
  <c r="B7" i="4"/>
  <c r="B6" i="4"/>
  <c r="B5" i="4"/>
  <c r="B4" i="4"/>
  <c r="B3" i="4"/>
  <c r="B2" i="4"/>
  <c r="N12" i="1"/>
  <c r="J12" i="1"/>
  <c r="F12" i="1"/>
  <c r="B12" i="1"/>
  <c r="N7" i="1"/>
  <c r="J7" i="1"/>
  <c r="B7" i="1"/>
  <c r="F7" i="1"/>
</calcChain>
</file>

<file path=xl/sharedStrings.xml><?xml version="1.0" encoding="utf-8"?>
<sst xmlns="http://schemas.openxmlformats.org/spreadsheetml/2006/main" count="1951" uniqueCount="508">
  <si>
    <t>Item ID</t>
  </si>
  <si>
    <t>Item Name</t>
  </si>
  <si>
    <t>Category</t>
  </si>
  <si>
    <t>Quantity</t>
  </si>
  <si>
    <t>Unit</t>
  </si>
  <si>
    <t>Date Received</t>
  </si>
  <si>
    <t>Expiry Date</t>
  </si>
  <si>
    <t>Supplier</t>
  </si>
  <si>
    <t>Storage Location</t>
  </si>
  <si>
    <t>Status</t>
  </si>
  <si>
    <t>Remarks</t>
  </si>
  <si>
    <t>Categories</t>
  </si>
  <si>
    <t>Ration</t>
  </si>
  <si>
    <t>Ammunition</t>
  </si>
  <si>
    <t>Equipment</t>
  </si>
  <si>
    <t>Units</t>
  </si>
  <si>
    <t>Kg</t>
  </si>
  <si>
    <t>Litre</t>
  </si>
  <si>
    <t>Packet</t>
  </si>
  <si>
    <t>Box</t>
  </si>
  <si>
    <t>Piece</t>
  </si>
  <si>
    <t>Round</t>
  </si>
  <si>
    <t>Set</t>
  </si>
  <si>
    <t>Carton</t>
  </si>
  <si>
    <t>Storage Locations</t>
  </si>
  <si>
    <t>Suppliers</t>
  </si>
  <si>
    <t>Army Supply Depot</t>
  </si>
  <si>
    <t>Bharat Defence Supplies</t>
  </si>
  <si>
    <t>DRDO Logistics</t>
  </si>
  <si>
    <t>Government Food Corporation</t>
  </si>
  <si>
    <t>Local Vendor</t>
  </si>
  <si>
    <t>Warehouse A</t>
  </si>
  <si>
    <t>Warehouse B</t>
  </si>
  <si>
    <t>Cold Storage</t>
  </si>
  <si>
    <t>Ammunition Depot</t>
  </si>
  <si>
    <t>Equipment Room</t>
  </si>
  <si>
    <t>Medical Store</t>
  </si>
  <si>
    <t>Normal</t>
  </si>
  <si>
    <t>Low Stock</t>
  </si>
  <si>
    <t>Expiring Soon</t>
  </si>
  <si>
    <t>Expired</t>
  </si>
  <si>
    <t>MILITARY INVENTORY &amp; RATION STOCK TRACKER</t>
  </si>
  <si>
    <t>Category-wise Inventory
(Chart will appear here)</t>
  </si>
  <si>
    <t>Inventory Distribution
(Chart will appear here)</t>
  </si>
  <si>
    <t>Top 10 Inventory Items
(Chart will appear here)</t>
  </si>
  <si>
    <t>Add Item</t>
  </si>
  <si>
    <t>Refresh</t>
  </si>
  <si>
    <t>Generate Report</t>
  </si>
  <si>
    <t>Export PDF</t>
  </si>
  <si>
    <t>MIL001</t>
  </si>
  <si>
    <t>Torch</t>
  </si>
  <si>
    <t>31-Jan-2026</t>
  </si>
  <si>
    <t>MIL002</t>
  </si>
  <si>
    <t>Helmet</t>
  </si>
  <si>
    <t>26-Oct-2025</t>
  </si>
  <si>
    <t>MIL003</t>
  </si>
  <si>
    <t>Tea</t>
  </si>
  <si>
    <t>24-Aug-2025</t>
  </si>
  <si>
    <t>05-Dec-2026</t>
  </si>
  <si>
    <t>MIL004</t>
  </si>
  <si>
    <t>Sleeping Bag</t>
  </si>
  <si>
    <t>28-Oct-2025</t>
  </si>
  <si>
    <t>MIL005</t>
  </si>
  <si>
    <t>Smoke Grenade</t>
  </si>
  <si>
    <t>18-Nov-2025</t>
  </si>
  <si>
    <t>MIL006</t>
  </si>
  <si>
    <t>Battery Pack</t>
  </si>
  <si>
    <t>09-Oct-2025</t>
  </si>
  <si>
    <t>MIL007</t>
  </si>
  <si>
    <t>5.56mm Ammunition</t>
  </si>
  <si>
    <t>01-Jul-2026</t>
  </si>
  <si>
    <t>MIL008</t>
  </si>
  <si>
    <t>04-Oct-2025</t>
  </si>
  <si>
    <t>MIL009</t>
  </si>
  <si>
    <t>Grenade Box</t>
  </si>
  <si>
    <t>14-Aug-2025</t>
  </si>
  <si>
    <t>MIL010</t>
  </si>
  <si>
    <t>06-Dec-2025</t>
  </si>
  <si>
    <t>MIL011</t>
  </si>
  <si>
    <t>Dal</t>
  </si>
  <si>
    <t>03-Jul-2026</t>
  </si>
  <si>
    <t>22-Oct-2026</t>
  </si>
  <si>
    <t>MIL012</t>
  </si>
  <si>
    <t>23-Sep-2025</t>
  </si>
  <si>
    <t>MIL013</t>
  </si>
  <si>
    <t>Wheat Flour</t>
  </si>
  <si>
    <t>24-Jun-2026</t>
  </si>
  <si>
    <t>03-Feb-2027</t>
  </si>
  <si>
    <t>MIL014</t>
  </si>
  <si>
    <t>12-Mar-2026</t>
  </si>
  <si>
    <t>MIL015</t>
  </si>
  <si>
    <t>7.62mm Ammunition</t>
  </si>
  <si>
    <t>23-Mar-2026</t>
  </si>
  <si>
    <t>MIL016</t>
  </si>
  <si>
    <t>First Aid Kit</t>
  </si>
  <si>
    <t>02-Mar-2026</t>
  </si>
  <si>
    <t>MIL017</t>
  </si>
  <si>
    <t>Rice</t>
  </si>
  <si>
    <t>09-Dec-2025</t>
  </si>
  <si>
    <t>24-Jan-2027</t>
  </si>
  <si>
    <t>MIL018</t>
  </si>
  <si>
    <t>Coffee</t>
  </si>
  <si>
    <t>21-Oct-2025</t>
  </si>
  <si>
    <t>06-Apr-2027</t>
  </si>
  <si>
    <t>MIL019</t>
  </si>
  <si>
    <t>Sugar</t>
  </si>
  <si>
    <t>31-May-2027</t>
  </si>
  <si>
    <t>MIL020</t>
  </si>
  <si>
    <t>19-Sep-2025</t>
  </si>
  <si>
    <t>MIL021</t>
  </si>
  <si>
    <t>21-Aug-2025</t>
  </si>
  <si>
    <t>MIL022</t>
  </si>
  <si>
    <t>15-Sep-2025</t>
  </si>
  <si>
    <t>MIL023</t>
  </si>
  <si>
    <t>Cooking Oil</t>
  </si>
  <si>
    <t>25-Aug-2025</t>
  </si>
  <si>
    <t>07-Feb-2027</t>
  </si>
  <si>
    <t>MIL024</t>
  </si>
  <si>
    <t>Salt</t>
  </si>
  <si>
    <t>30-Aug-2025</t>
  </si>
  <si>
    <t>22-Jul-2026</t>
  </si>
  <si>
    <t>MIL025</t>
  </si>
  <si>
    <t>08-Nov-2025</t>
  </si>
  <si>
    <t>21-Feb-2027</t>
  </si>
  <si>
    <t>MIL026</t>
  </si>
  <si>
    <t>Milk Powder</t>
  </si>
  <si>
    <t>07-May-2027</t>
  </si>
  <si>
    <t>MIL027</t>
  </si>
  <si>
    <t>19-Apr-2026</t>
  </si>
  <si>
    <t>MIL028</t>
  </si>
  <si>
    <t>Biscuits</t>
  </si>
  <si>
    <t>29-Nov-2025</t>
  </si>
  <si>
    <t>09-Dec-2026</t>
  </si>
  <si>
    <t>MIL029</t>
  </si>
  <si>
    <t>05-Feb-2026</t>
  </si>
  <si>
    <t>01-Mar-2027</t>
  </si>
  <si>
    <t>MIL030</t>
  </si>
  <si>
    <t>16-May-2026</t>
  </si>
  <si>
    <t>MIL031</t>
  </si>
  <si>
    <t>Fuel Can</t>
  </si>
  <si>
    <t>MIL032</t>
  </si>
  <si>
    <t>01-Nov-2025</t>
  </si>
  <si>
    <t>10-Nov-2026</t>
  </si>
  <si>
    <t>MIL033</t>
  </si>
  <si>
    <t>10-Mar-2026</t>
  </si>
  <si>
    <t>22-Feb-2027</t>
  </si>
  <si>
    <t>MIL034</t>
  </si>
  <si>
    <t>26-Feb-2026</t>
  </si>
  <si>
    <t>17-May-2027</t>
  </si>
  <si>
    <t>MIL035</t>
  </si>
  <si>
    <t>9mm Rounds</t>
  </si>
  <si>
    <t>04-Jan-2026</t>
  </si>
  <si>
    <t>MIL036</t>
  </si>
  <si>
    <t>Radio Set</t>
  </si>
  <si>
    <t>27-Dec-2025</t>
  </si>
  <si>
    <t>MIL037</t>
  </si>
  <si>
    <t>20-Mar-2026</t>
  </si>
  <si>
    <t>06-Oct-2026</t>
  </si>
  <si>
    <t>MIL038</t>
  </si>
  <si>
    <t>03-Dec-2025</t>
  </si>
  <si>
    <t>29-Nov-2026</t>
  </si>
  <si>
    <t>MIL039</t>
  </si>
  <si>
    <t>02-Sep-2025</t>
  </si>
  <si>
    <t>MIL040</t>
  </si>
  <si>
    <t>Tent</t>
  </si>
  <si>
    <t>13-Jul-2026</t>
  </si>
  <si>
    <t>MIL041</t>
  </si>
  <si>
    <t>29-Jul-2026</t>
  </si>
  <si>
    <t>MIL042</t>
  </si>
  <si>
    <t>26-Mar-2026</t>
  </si>
  <si>
    <t>MIL043</t>
  </si>
  <si>
    <t>21-Jul-2026</t>
  </si>
  <si>
    <t>MIL044</t>
  </si>
  <si>
    <t>06-Jun-2026</t>
  </si>
  <si>
    <t>03-May-2027</t>
  </si>
  <si>
    <t>MIL045</t>
  </si>
  <si>
    <t>01-Jun-2026</t>
  </si>
  <si>
    <t>MIL046</t>
  </si>
  <si>
    <t>11-May-2026</t>
  </si>
  <si>
    <t>MIL047</t>
  </si>
  <si>
    <t>16-Jul-2026</t>
  </si>
  <si>
    <t>MIL048</t>
  </si>
  <si>
    <t>24-Dec-2025</t>
  </si>
  <si>
    <t>MIL049</t>
  </si>
  <si>
    <t>21-Sep-2025</t>
  </si>
  <si>
    <t>MIL050</t>
  </si>
  <si>
    <t>MIL051</t>
  </si>
  <si>
    <t>MIL052</t>
  </si>
  <si>
    <t>03-May-2026</t>
  </si>
  <si>
    <t>18-Aug-2026</t>
  </si>
  <si>
    <t>MIL053</t>
  </si>
  <si>
    <t>MIL054</t>
  </si>
  <si>
    <t>06-Nov-2025</t>
  </si>
  <si>
    <t>02-Sep-2026</t>
  </si>
  <si>
    <t>MIL055</t>
  </si>
  <si>
    <t>02-Aug-2026</t>
  </si>
  <si>
    <t>31-Mar-2027</t>
  </si>
  <si>
    <t>MIL056</t>
  </si>
  <si>
    <t>17-Mar-2026</t>
  </si>
  <si>
    <t>MIL057</t>
  </si>
  <si>
    <t>27-Sep-2026</t>
  </si>
  <si>
    <t>MIL058</t>
  </si>
  <si>
    <t>27-Jul-2026</t>
  </si>
  <si>
    <t>MIL059</t>
  </si>
  <si>
    <t>Tracer Rounds</t>
  </si>
  <si>
    <t>22-Apr-2026</t>
  </si>
  <si>
    <t>MIL060</t>
  </si>
  <si>
    <t>14-May-2026</t>
  </si>
  <si>
    <t>MIL061</t>
  </si>
  <si>
    <t>03-Nov-2025</t>
  </si>
  <si>
    <t>MIL062</t>
  </si>
  <si>
    <t>26-Apr-2026</t>
  </si>
  <si>
    <t>MIL063</t>
  </si>
  <si>
    <t>25-Mar-2026</t>
  </si>
  <si>
    <t>MIL064</t>
  </si>
  <si>
    <t>Bulletproof Jacket</t>
  </si>
  <si>
    <t>09-Jul-2026</t>
  </si>
  <si>
    <t>MIL065</t>
  </si>
  <si>
    <t>21-Nov-2025</t>
  </si>
  <si>
    <t>MIL066</t>
  </si>
  <si>
    <t>15-Apr-2027</t>
  </si>
  <si>
    <t>MIL067</t>
  </si>
  <si>
    <t>19-Jul-2026</t>
  </si>
  <si>
    <t>MIL068</t>
  </si>
  <si>
    <t>08-Oct-2025</t>
  </si>
  <si>
    <t>MIL069</t>
  </si>
  <si>
    <t>MIL070</t>
  </si>
  <si>
    <t>MIL071</t>
  </si>
  <si>
    <t>29-Mar-2026</t>
  </si>
  <si>
    <t>MIL072</t>
  </si>
  <si>
    <t>10-Aug-2025</t>
  </si>
  <si>
    <t>15-Oct-2026</t>
  </si>
  <si>
    <t>MIL073</t>
  </si>
  <si>
    <t>10-Jun-2026</t>
  </si>
  <si>
    <t>29-Jan-2027</t>
  </si>
  <si>
    <t>MIL074</t>
  </si>
  <si>
    <t>01-May-2026</t>
  </si>
  <si>
    <t>MIL075</t>
  </si>
  <si>
    <t>24-Apr-2026</t>
  </si>
  <si>
    <t>MIL076</t>
  </si>
  <si>
    <t>23-Jul-2026</t>
  </si>
  <si>
    <t>MIL077</t>
  </si>
  <si>
    <t>03-Jan-2026</t>
  </si>
  <si>
    <t>MIL078</t>
  </si>
  <si>
    <t>25-Jul-2026</t>
  </si>
  <si>
    <t>13-Nov-2026</t>
  </si>
  <si>
    <t>MIL079</t>
  </si>
  <si>
    <t>MIL080</t>
  </si>
  <si>
    <t>Night Vision Goggles</t>
  </si>
  <si>
    <t>17-Aug-2025</t>
  </si>
  <si>
    <t>MIL081</t>
  </si>
  <si>
    <t>29-Jan-2026</t>
  </si>
  <si>
    <t>22-Nov-2026</t>
  </si>
  <si>
    <t>MIL082</t>
  </si>
  <si>
    <t>17-Jul-2026</t>
  </si>
  <si>
    <t>18-Nov-2026</t>
  </si>
  <si>
    <t>MIL083</t>
  </si>
  <si>
    <t>24-Jan-2026</t>
  </si>
  <si>
    <t>MIL084</t>
  </si>
  <si>
    <t>MIL085</t>
  </si>
  <si>
    <t>16-Aug-2025</t>
  </si>
  <si>
    <t>MIL086</t>
  </si>
  <si>
    <t>25-Oct-2025</t>
  </si>
  <si>
    <t>MIL087</t>
  </si>
  <si>
    <t>02-Jan-2026</t>
  </si>
  <si>
    <t>26-Apr-2027</t>
  </si>
  <si>
    <t>MIL088</t>
  </si>
  <si>
    <t>23-Apr-2027</t>
  </si>
  <si>
    <t>MIL089</t>
  </si>
  <si>
    <t>08-Mar-2026</t>
  </si>
  <si>
    <t>MIL090</t>
  </si>
  <si>
    <t>MIL091</t>
  </si>
  <si>
    <t>05-Aug-2025</t>
  </si>
  <si>
    <t>MIL092</t>
  </si>
  <si>
    <t>02-Jan-2027</t>
  </si>
  <si>
    <t>MIL093</t>
  </si>
  <si>
    <t>MIL094</t>
  </si>
  <si>
    <t>01-Sep-2025</t>
  </si>
  <si>
    <t>MIL095</t>
  </si>
  <si>
    <t>02-Jun-2026</t>
  </si>
  <si>
    <t>MIL096</t>
  </si>
  <si>
    <t>MIL097</t>
  </si>
  <si>
    <t>18-Jan-2026</t>
  </si>
  <si>
    <t>MIL098</t>
  </si>
  <si>
    <t>05-Apr-2026</t>
  </si>
  <si>
    <t>MIL099</t>
  </si>
  <si>
    <t>MIL100</t>
  </si>
  <si>
    <t>MIL101</t>
  </si>
  <si>
    <t>23-Aug-2025</t>
  </si>
  <si>
    <t>15-Feb-2027</t>
  </si>
  <si>
    <t>MIL102</t>
  </si>
  <si>
    <t>30-Dec-2025</t>
  </si>
  <si>
    <t>MIL103</t>
  </si>
  <si>
    <t>09-May-2026</t>
  </si>
  <si>
    <t>MIL104</t>
  </si>
  <si>
    <t>28-May-2026</t>
  </si>
  <si>
    <t>27-Feb-2027</t>
  </si>
  <si>
    <t>MIL105</t>
  </si>
  <si>
    <t>09-Feb-2026</t>
  </si>
  <si>
    <t>18-Dec-2026</t>
  </si>
  <si>
    <t>MIL106</t>
  </si>
  <si>
    <t>14-Sep-2025</t>
  </si>
  <si>
    <t>MIL107</t>
  </si>
  <si>
    <t>22-Aug-2025</t>
  </si>
  <si>
    <t>MIL108</t>
  </si>
  <si>
    <t>08-Apr-2026</t>
  </si>
  <si>
    <t>MIL109</t>
  </si>
  <si>
    <t>25-Apr-2026</t>
  </si>
  <si>
    <t>MIL110</t>
  </si>
  <si>
    <t>30-Mar-2026</t>
  </si>
  <si>
    <t>MIL111</t>
  </si>
  <si>
    <t>MIL112</t>
  </si>
  <si>
    <t>19-Sep-2026</t>
  </si>
  <si>
    <t>MIL113</t>
  </si>
  <si>
    <t>13-Jan-2026</t>
  </si>
  <si>
    <t>25-Sep-2026</t>
  </si>
  <si>
    <t>MIL114</t>
  </si>
  <si>
    <t>17-Oct-2025</t>
  </si>
  <si>
    <t>10-Aug-2026</t>
  </si>
  <si>
    <t>MIL115</t>
  </si>
  <si>
    <t>12-Jan-2026</t>
  </si>
  <si>
    <t>MIL116</t>
  </si>
  <si>
    <t>MIL117</t>
  </si>
  <si>
    <t>30-Oct-2025</t>
  </si>
  <si>
    <t>MIL118</t>
  </si>
  <si>
    <t>24-Jul-2026</t>
  </si>
  <si>
    <t>25-Jan-2027</t>
  </si>
  <si>
    <t>MIL119</t>
  </si>
  <si>
    <t>11-Feb-2026</t>
  </si>
  <si>
    <t>MIL120</t>
  </si>
  <si>
    <t>25-Jan-2026</t>
  </si>
  <si>
    <t>19-Feb-2027</t>
  </si>
  <si>
    <t>MIL121</t>
  </si>
  <si>
    <t>22-May-2026</t>
  </si>
  <si>
    <t>MIL122</t>
  </si>
  <si>
    <t>MIL123</t>
  </si>
  <si>
    <t>31-Jul-2026</t>
  </si>
  <si>
    <t>MIL124</t>
  </si>
  <si>
    <t>16-Nov-2025</t>
  </si>
  <si>
    <t>17-Aug-2026</t>
  </si>
  <si>
    <t>MIL125</t>
  </si>
  <si>
    <t>11-Nov-2025</t>
  </si>
  <si>
    <t>MIL126</t>
  </si>
  <si>
    <t>28-Jul-2026</t>
  </si>
  <si>
    <t>MIL127</t>
  </si>
  <si>
    <t>12-Apr-2026</t>
  </si>
  <si>
    <t>07-Dec-2026</t>
  </si>
  <si>
    <t>MIL128</t>
  </si>
  <si>
    <t>10-Sep-2025</t>
  </si>
  <si>
    <t>08-Nov-2026</t>
  </si>
  <si>
    <t>MIL129</t>
  </si>
  <si>
    <t>17-Apr-2026</t>
  </si>
  <si>
    <t>10-Feb-2027</t>
  </si>
  <si>
    <t>MIL130</t>
  </si>
  <si>
    <t>01-Aug-2026</t>
  </si>
  <si>
    <t>17-Feb-2027</t>
  </si>
  <si>
    <t>MIL131</t>
  </si>
  <si>
    <t>05-Nov-2025</t>
  </si>
  <si>
    <t>MIL132</t>
  </si>
  <si>
    <t>12-Feb-2026</t>
  </si>
  <si>
    <t>MIL133</t>
  </si>
  <si>
    <t>11-Dec-2025</t>
  </si>
  <si>
    <t>MIL134</t>
  </si>
  <si>
    <t>24-Aug-2026</t>
  </si>
  <si>
    <t>MIL135</t>
  </si>
  <si>
    <t>MIL136</t>
  </si>
  <si>
    <t>13-Dec-2025</t>
  </si>
  <si>
    <t>29-Mar-2027</t>
  </si>
  <si>
    <t>MIL137</t>
  </si>
  <si>
    <t>28-Mar-2026</t>
  </si>
  <si>
    <t>MIL138</t>
  </si>
  <si>
    <t>20-Aug-2025</t>
  </si>
  <si>
    <t>26-Jul-2026</t>
  </si>
  <si>
    <t>MIL139</t>
  </si>
  <si>
    <t>26-Sep-2025</t>
  </si>
  <si>
    <t>MIL140</t>
  </si>
  <si>
    <t>03-Aug-2026</t>
  </si>
  <si>
    <t>MIL141</t>
  </si>
  <si>
    <t>MIL142</t>
  </si>
  <si>
    <t>MIL143</t>
  </si>
  <si>
    <t>14-Feb-2026</t>
  </si>
  <si>
    <t>MIL144</t>
  </si>
  <si>
    <t>MIL145</t>
  </si>
  <si>
    <t>11-Jun-2026</t>
  </si>
  <si>
    <t>MIL146</t>
  </si>
  <si>
    <t>13-Nov-2025</t>
  </si>
  <si>
    <t>16-Sep-2026</t>
  </si>
  <si>
    <t>MIL147</t>
  </si>
  <si>
    <t>09-Mar-2026</t>
  </si>
  <si>
    <t>MIL148</t>
  </si>
  <si>
    <t>17-Sep-2025</t>
  </si>
  <si>
    <t>MIL149</t>
  </si>
  <si>
    <t>MIL150</t>
  </si>
  <si>
    <t>08-May-2026</t>
  </si>
  <si>
    <t>MIL151</t>
  </si>
  <si>
    <t>29-Oct-2025</t>
  </si>
  <si>
    <t>MIL152</t>
  </si>
  <si>
    <t>MIL153</t>
  </si>
  <si>
    <t>26-Dec-2025</t>
  </si>
  <si>
    <t>MIL154</t>
  </si>
  <si>
    <t>02-Apr-2026</t>
  </si>
  <si>
    <t>MIL155</t>
  </si>
  <si>
    <t>24-May-2026</t>
  </si>
  <si>
    <t>MIL156</t>
  </si>
  <si>
    <t>MIL157</t>
  </si>
  <si>
    <t>MIL158</t>
  </si>
  <si>
    <t>16-Feb-2026</t>
  </si>
  <si>
    <t>MIL159</t>
  </si>
  <si>
    <t>22-Oct-2025</t>
  </si>
  <si>
    <t>MIL160</t>
  </si>
  <si>
    <t>04-Jul-2026</t>
  </si>
  <si>
    <t>MIL161</t>
  </si>
  <si>
    <t>02-Feb-2026</t>
  </si>
  <si>
    <t>MIL162</t>
  </si>
  <si>
    <t>15-Mar-2027</t>
  </si>
  <si>
    <t>MIL163</t>
  </si>
  <si>
    <t>26-Jun-2026</t>
  </si>
  <si>
    <t>MIL164</t>
  </si>
  <si>
    <t>01-Jan-2026</t>
  </si>
  <si>
    <t>MIL165</t>
  </si>
  <si>
    <t>MIL166</t>
  </si>
  <si>
    <t>MIL167</t>
  </si>
  <si>
    <t>MIL168</t>
  </si>
  <si>
    <t>25-Nov-2025</t>
  </si>
  <si>
    <t>MIL169</t>
  </si>
  <si>
    <t>18-Apr-2027</t>
  </si>
  <si>
    <t>MIL170</t>
  </si>
  <si>
    <t>31-May-2026</t>
  </si>
  <si>
    <t>MIL171</t>
  </si>
  <si>
    <t>MIL172</t>
  </si>
  <si>
    <t>18-Dec-2025</t>
  </si>
  <si>
    <t>02-Feb-2027</t>
  </si>
  <si>
    <t>MIL173</t>
  </si>
  <si>
    <t>02-Oct-2025</t>
  </si>
  <si>
    <t>MIL174</t>
  </si>
  <si>
    <t>12-Jun-2026</t>
  </si>
  <si>
    <t>MIL175</t>
  </si>
  <si>
    <t>25-May-2026</t>
  </si>
  <si>
    <t>MIL176</t>
  </si>
  <si>
    <t>03-Feb-2026</t>
  </si>
  <si>
    <t>MIL177</t>
  </si>
  <si>
    <t>MIL178</t>
  </si>
  <si>
    <t>MIL179</t>
  </si>
  <si>
    <t>MIL180</t>
  </si>
  <si>
    <t>MIL181</t>
  </si>
  <si>
    <t>07-Dec-2025</t>
  </si>
  <si>
    <t>MIL182</t>
  </si>
  <si>
    <t>MIL183</t>
  </si>
  <si>
    <t>23-Jun-2026</t>
  </si>
  <si>
    <t>MIL184</t>
  </si>
  <si>
    <t>19-May-2026</t>
  </si>
  <si>
    <t>MIL185</t>
  </si>
  <si>
    <t>MIL186</t>
  </si>
  <si>
    <t>15-Aug-2025</t>
  </si>
  <si>
    <t>09-Apr-2027</t>
  </si>
  <si>
    <t>MIL187</t>
  </si>
  <si>
    <t>17-Dec-2025</t>
  </si>
  <si>
    <t>MIL188</t>
  </si>
  <si>
    <t>29-Sep-2025</t>
  </si>
  <si>
    <t>MIL189</t>
  </si>
  <si>
    <t>27-Aug-2025</t>
  </si>
  <si>
    <t>MIL190</t>
  </si>
  <si>
    <t>28-Sep-2025</t>
  </si>
  <si>
    <t>MIL191</t>
  </si>
  <si>
    <t>07-Apr-2026</t>
  </si>
  <si>
    <t>01-Feb-2027</t>
  </si>
  <si>
    <t>MIL192</t>
  </si>
  <si>
    <t>31-Mar-2026</t>
  </si>
  <si>
    <t>16-Nov-2026</t>
  </si>
  <si>
    <t>MIL193</t>
  </si>
  <si>
    <t>25-Dec-2025</t>
  </si>
  <si>
    <t>MIL194</t>
  </si>
  <si>
    <t>10-Nov-2025</t>
  </si>
  <si>
    <t>16-Aug-2026</t>
  </si>
  <si>
    <t>MIL195</t>
  </si>
  <si>
    <t>10-Feb-2026</t>
  </si>
  <si>
    <t>MIL196</t>
  </si>
  <si>
    <t>MIL197</t>
  </si>
  <si>
    <t>MIL198</t>
  </si>
  <si>
    <t>29-Aug-2025</t>
  </si>
  <si>
    <t>03-Sep-2026</t>
  </si>
  <si>
    <t>MIL199</t>
  </si>
  <si>
    <t>28-Jun-2026</t>
  </si>
  <si>
    <t>MIL200</t>
  </si>
  <si>
    <t xml:space="preserve">                TOTAL ITEMS
</t>
  </si>
  <si>
    <t>Total Quantity</t>
  </si>
  <si>
    <t>LOW STOCK</t>
  </si>
  <si>
    <t xml:space="preserve">         EXPIRING SOON</t>
  </si>
  <si>
    <t>EXPIRED</t>
  </si>
  <si>
    <t>RATION</t>
  </si>
  <si>
    <t>AMMUNITION</t>
  </si>
  <si>
    <t>EQUIPMENT</t>
  </si>
  <si>
    <t>Count</t>
  </si>
  <si>
    <t>Month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</si>
  <si>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</si>
  <si>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</si>
  <si>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</si>
  <si>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</si>
  <si>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</si>
  <si>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</si>
  <si>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</si>
  <si>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</si>
  <si>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</si>
  <si>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</si>
  <si>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</si>
  <si>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</si>
  <si>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🤖 AI INVENTORY ADVISOR</t>
  </si>
  <si>
    <t>1. CRITICAL LOW STOCK_x000D_
Helmets, torches, fuel cans, and tents have critically depleted units._x000D_
_x000D_
2. EXPIRED ITEMS_x000D_
Salt, biscuits, coffee, sugar, and rice are expired and unusable._x000D_
_x000D_
3. NEARING EXPIRY_x000D_
Milk powder, tea, dal, and coffee expire in August/September 2026._x000D_
_x000D_
4. REPLENISHMENT PRIORITY_x000D_
Priority 1: Helmets and Fuel Cans. Priority 2: Vital Rations._x000D_
_x000D_
5. RECOMMENDATION_x000D_
Dispose of expired stock immediately and reorder critical equipment now.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</si>
</sst>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rgb="FFFFFFFF"/>
      <name val="Calibri"/>
      <family val="2"/>
    </font>
    <font>
      <b/>
      <sz val="14"/>
      <color rgb="FFFFFFFF"/>
      <name val="Calibri"/>
      <family val="2"/>
    </font>
    <font>
      <b/>
      <sz val="11"/>
      <color rgb="FFFFFFFF"/>
      <name val="Calibri"/>
      <family val="2"/>
    </font>
    <font>
      <b/>
      <sz val="13"/>
      <color rgb="FF355E3B"/>
      <name val="Calibri"/>
      <family val="2"/>
    </font>
    <font>
      <sz val="8"/>
      <name val="Calibri"/>
      <family val="2"/>
      <scheme val="minor"/>
    </font>
    <font>
      <b/>
      <sz val="18"/>
      <color rgb="FFFFFFFF"/>
      <name val="Calibri"/>
      <family val="2"/>
    </font>
    <font>
      <b/>
      <sz val="11"/>
      <color theme="0"/>
      <name val="Calibri"/>
      <family val="2"/>
      <scheme val="minor"/>
    </font>
    <font>
      <b/>
      <sz val="16"/>
      <color rgb="FFFFFFFF"/>
      <name val="Calibri"/>
      <family val="2"/>
    </font>
    <font>
      <sz val="10"/>
      <color theme="1"/>
      <name val="Arial Unicode MS"/>
    </font>
    <font>
      <sz val="11"/>
      <color rgb="FF000000"/>
      <name val="Calibri"/>
      <family val="2"/>
    </font>
    <font>
      <b/>
      <sz val="16"/>
      <color theme="1"/>
      <name val="Calibri"/>
      <family val="2"/>
      <scheme val="minor"/>
    </font>
    <font>
      <sz val="10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355E3B"/>
      </patternFill>
    </fill>
    <fill>
      <patternFill patternType="solid">
        <fgColor rgb="FF4F7942"/>
      </patternFill>
    </fill>
    <fill>
      <patternFill patternType="solid">
        <fgColor rgb="FFEEF4EE"/>
      </patternFill>
    </fill>
    <fill>
      <patternFill patternType="solid">
        <fgColor rgb="FF70AD47"/>
      </patternFill>
    </fill>
    <fill>
      <patternFill patternType="solid">
        <fgColor rgb="FF5B9BD5"/>
      </patternFill>
    </fill>
    <fill>
      <patternFill patternType="solid">
        <fgColor rgb="FFED7D31"/>
      </patternFill>
    </fill>
    <fill>
      <patternFill patternType="solid">
        <fgColor rgb="FFC00000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2"/>
        <bgColor indexed="64"/>
      </patternFill>
    </fill>
  </fills>
  <borders count="8">
    <border>
      <left/>
      <right/>
      <top/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40">
    <xf numFmtId="0" fontId="0" fillId="0" borderId="0" xfId="0"/>
    <xf numFmtId="0" fontId="0" fillId="0" borderId="0" xfId="0" applyAlignment="1">
      <alignment vertical="center" wrapText="1"/>
    </xf>
    <xf numFmtId="0" fontId="1" fillId="2" borderId="0" xfId="0" applyFont="1" applyFill="1" applyAlignment="1">
      <alignment horizontal="center" vertical="center" wrapText="1"/>
    </xf>
    <xf numFmtId="0" fontId="1" fillId="2" borderId="0" xfId="0" applyFont="1" applyFill="1" applyAlignment="1">
      <alignment horizontal="right" vertical="center" wrapText="1"/>
    </xf>
    <xf numFmtId="0" fontId="1" fillId="3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center" vertical="center" wrapText="1"/>
    </xf>
    <xf numFmtId="0" fontId="7" fillId="5" borderId="0" xfId="0" applyFont="1" applyFill="1" applyAlignment="1">
      <alignment horizontal="center" vertical="center" wrapText="1"/>
    </xf>
    <xf numFmtId="0" fontId="5" fillId="6" borderId="1" xfId="0" applyFont="1" applyFill="1" applyBorder="1" applyAlignment="1">
      <alignment horizontal="center" vertical="top" wrapText="1"/>
    </xf>
    <xf numFmtId="0" fontId="0" fillId="0" borderId="1" xfId="0" applyBorder="1"/>
    <xf numFmtId="0" fontId="0" fillId="11" borderId="2" xfId="0" applyFill="1" applyBorder="1"/>
    <xf numFmtId="0" fontId="0" fillId="0" borderId="2" xfId="0" applyBorder="1"/>
    <xf numFmtId="0" fontId="3" fillId="5" borderId="0" xfId="0" applyFont="1" applyFill="1" applyAlignment="1">
      <alignment vertical="center" wrapText="1"/>
    </xf>
    <xf numFmtId="0" fontId="3" fillId="5" borderId="0" xfId="0" applyFont="1" applyFill="1" applyAlignment="1">
      <alignment horizontal="center" vertical="center"/>
    </xf>
    <xf numFmtId="0" fontId="9" fillId="5" borderId="0" xfId="0" applyFont="1" applyFill="1" applyAlignment="1">
      <alignment horizontal="left"/>
    </xf>
    <xf numFmtId="0" fontId="3" fillId="5" borderId="0" xfId="0" applyFont="1" applyFill="1" applyAlignment="1">
      <alignment horizontal="center" wrapText="1"/>
    </xf>
    <xf numFmtId="0" fontId="3" fillId="5" borderId="0" xfId="0" applyFont="1" applyFill="1" applyAlignment="1">
      <alignment vertical="center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right" vertical="center" wrapText="1"/>
    </xf>
    <xf numFmtId="0" fontId="1" fillId="0" borderId="0" xfId="0" applyFont="1" applyAlignment="1">
      <alignment horizontal="right" vertical="center" wrapText="1"/>
    </xf>
    <xf numFmtId="0" fontId="1" fillId="0" borderId="0" xfId="0" applyFont="1" applyAlignment="1">
      <alignment vertical="center" wrapText="1"/>
    </xf>
    <xf numFmtId="0" fontId="10" fillId="0" borderId="0" xfId="0" applyFont="1" applyAlignment="1">
      <alignment horizontal="right" vertical="center" wrapText="1"/>
    </xf>
    <xf numFmtId="0" fontId="10" fillId="0" borderId="0" xfId="0" applyFont="1" applyAlignment="1">
      <alignment vertical="center" wrapText="1"/>
    </xf>
    <xf numFmtId="0" fontId="8" fillId="2" borderId="2" xfId="0" applyFont="1" applyFill="1" applyBorder="1" applyAlignment="1">
      <alignment horizontal="center" vertical="center" wrapText="1"/>
    </xf>
    <xf numFmtId="0" fontId="8" fillId="2" borderId="2" xfId="0" applyFont="1" applyFill="1" applyBorder="1" applyAlignment="1">
      <alignment horizontal="right" vertical="center" wrapText="1"/>
    </xf>
    <xf numFmtId="0" fontId="2" fillId="4" borderId="0" xfId="0" applyFont="1" applyFill="1" applyAlignment="1">
      <alignment horizontal="center" vertical="center"/>
    </xf>
    <xf numFmtId="0" fontId="0" fillId="0" borderId="0" xfId="0"/>
    <xf numFmtId="0" fontId="3" fillId="5" borderId="0" xfId="0" applyFont="1" applyFill="1" applyAlignment="1">
      <alignment horizontal="left" wrapText="1"/>
    </xf>
    <xf numFmtId="0" fontId="5" fillId="6" borderId="1" xfId="0" applyFont="1" applyFill="1" applyBorder="1" applyAlignment="1">
      <alignment horizontal="center" vertical="top" wrapText="1"/>
    </xf>
    <xf numFmtId="0" fontId="0" fillId="0" borderId="1" xfId="0" applyBorder="1"/>
    <xf numFmtId="0" fontId="4" fillId="7" borderId="1" xfId="0" applyFont="1" applyFill="1" applyBorder="1" applyAlignment="1">
      <alignment horizontal="center" vertical="center"/>
    </xf>
    <xf numFmtId="0" fontId="4" fillId="8" borderId="1" xfId="0" applyFont="1" applyFill="1" applyBorder="1" applyAlignment="1">
      <alignment horizontal="center" vertical="center"/>
    </xf>
    <xf numFmtId="0" fontId="4" fillId="9" borderId="1" xfId="0" applyFont="1" applyFill="1" applyBorder="1" applyAlignment="1">
      <alignment horizontal="center" vertical="center"/>
    </xf>
    <xf numFmtId="0" fontId="4" fillId="10" borderId="1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top" wrapText="1"/>
    </xf>
    <xf numFmtId="0" fontId="0" fillId="0" borderId="3" xfId="0" applyBorder="1"/>
    <xf numFmtId="0" fontId="12" fillId="12" borderId="4" xfId="0" applyFont="1" applyFill="1" applyBorder="1" applyAlignment="1">
      <alignment horizontal="center" vertical="center"/>
    </xf>
    <xf numFmtId="0" fontId="12" fillId="12" borderId="5" xfId="0" applyFont="1" applyFill="1" applyBorder="1" applyAlignment="1">
      <alignment horizontal="center" vertical="center"/>
    </xf>
    <xf numFmtId="0" fontId="12" fillId="12" borderId="6" xfId="0" applyFont="1" applyFill="1" applyBorder="1" applyAlignment="1">
      <alignment horizontal="center" vertical="center"/>
    </xf>
    <xf numFmtId="0" fontId="13" fillId="12" borderId="7" xfId="0" applyFont="1" applyFill="1" applyBorder="1" applyAlignment="1">
      <alignment horizontal="left" vertical="top" wrapText="1"/>
    </xf>
    <xf numFmtId="0" fontId="13" fillId="12" borderId="0" xfId="0" applyFont="1" applyFill="1" applyBorder="1" applyAlignment="1">
      <alignment horizontal="left" vertical="top" wrapText="1"/>
    </xf>
  </cellXfs>
  <cellStyles count="1">
    <cellStyle name="Normal" xfId="0" builtinId="0"/>
  </cellStyles>
  <dxfs count="14"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Inventory Distribution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Dashboard!$S$22</c:f>
              <c:strCache>
                <c:ptCount val="1"/>
                <c:pt idx="0">
                  <c:v>Count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7F7-4D85-8D20-69C4D7352151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7F7-4D85-8D20-69C4D7352151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07F7-4D85-8D20-69C4D7352151}"/>
              </c:ext>
            </c:extLst>
          </c:dPt>
          <c:cat>
            <c:strRef>
              <c:f>Dashboard!$R$23:$R$25</c:f>
              <c:strCache>
                <c:ptCount val="3"/>
                <c:pt idx="0">
                  <c:v>Ration</c:v>
                </c:pt>
                <c:pt idx="1">
                  <c:v>Ammunition</c:v>
                </c:pt>
                <c:pt idx="2">
                  <c:v>Equipment</c:v>
                </c:pt>
              </c:strCache>
            </c:strRef>
          </c:cat>
          <c:val>
            <c:numRef>
              <c:f>Dashboard!$S$23:$S$25</c:f>
              <c:numCache>
                <c:formatCode>General</c:formatCode>
                <c:ptCount val="3"/>
                <c:pt idx="0">
                  <c:v>64</c:v>
                </c:pt>
                <c:pt idx="1">
                  <c:v>72</c:v>
                </c:pt>
                <c:pt idx="2">
                  <c:v>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18-4DE8-9687-ED775C26EA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Category-wise Inventory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3888888888888888E-2"/>
          <c:y val="0.13877333041703122"/>
          <c:w val="0.9555555555555556"/>
          <c:h val="0.7769754301545640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Dashboard!$S$22</c:f>
              <c:strCache>
                <c:ptCount val="1"/>
                <c:pt idx="0">
                  <c:v>Count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Dashboard!$R$23:$R$25</c:f>
              <c:strCache>
                <c:ptCount val="3"/>
                <c:pt idx="0">
                  <c:v>Ration</c:v>
                </c:pt>
                <c:pt idx="1">
                  <c:v>Ammunition</c:v>
                </c:pt>
                <c:pt idx="2">
                  <c:v>Equipment</c:v>
                </c:pt>
              </c:strCache>
            </c:strRef>
          </c:cat>
          <c:val>
            <c:numRef>
              <c:f>Dashboard!$S$23:$S$25</c:f>
              <c:numCache>
                <c:formatCode>General</c:formatCode>
                <c:ptCount val="3"/>
                <c:pt idx="0">
                  <c:v>64</c:v>
                </c:pt>
                <c:pt idx="1">
                  <c:v>72</c:v>
                </c:pt>
                <c:pt idx="2">
                  <c:v>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C-4311-B7F0-5034D41EA793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498984560"/>
        <c:axId val="394552592"/>
      </c:barChart>
      <c:catAx>
        <c:axId val="4989845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552592"/>
        <c:crosses val="autoZero"/>
        <c:auto val="1"/>
        <c:lblAlgn val="ctr"/>
        <c:lblOffset val="100"/>
        <c:noMultiLvlLbl val="0"/>
      </c:catAx>
      <c:valAx>
        <c:axId val="394552592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498984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Top 10 Inventory Items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Dashboard!$R$30</c:f>
              <c:strCache>
                <c:ptCount val="1"/>
                <c:pt idx="0">
                  <c:v>Quantity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Dashboard!$Q$31:$Q$40</c:f>
              <c:strCache>
                <c:ptCount val="10"/>
                <c:pt idx="0">
                  <c:v>5.56mm Ammunition</c:v>
                </c:pt>
                <c:pt idx="1">
                  <c:v>Smoke Grenade</c:v>
                </c:pt>
                <c:pt idx="2">
                  <c:v>7.62mm Ammunition</c:v>
                </c:pt>
                <c:pt idx="3">
                  <c:v>7.62mm Ammunition</c:v>
                </c:pt>
                <c:pt idx="4">
                  <c:v>9mm Rounds</c:v>
                </c:pt>
                <c:pt idx="5">
                  <c:v>Grenade Box</c:v>
                </c:pt>
                <c:pt idx="6">
                  <c:v>9mm Rounds</c:v>
                </c:pt>
                <c:pt idx="7">
                  <c:v>Tracer Rounds</c:v>
                </c:pt>
                <c:pt idx="8">
                  <c:v>Tracer Rounds</c:v>
                </c:pt>
                <c:pt idx="9">
                  <c:v>4215</c:v>
                </c:pt>
              </c:strCache>
            </c:strRef>
          </c:cat>
          <c:val>
            <c:numRef>
              <c:f>Dashboard!$R$31:$R$40</c:f>
              <c:numCache>
                <c:formatCode>General</c:formatCode>
                <c:ptCount val="10"/>
                <c:pt idx="0">
                  <c:v>4927</c:v>
                </c:pt>
                <c:pt idx="1">
                  <c:v>4926</c:v>
                </c:pt>
                <c:pt idx="2">
                  <c:v>4780</c:v>
                </c:pt>
                <c:pt idx="3">
                  <c:v>4666</c:v>
                </c:pt>
                <c:pt idx="4">
                  <c:v>4643</c:v>
                </c:pt>
                <c:pt idx="5">
                  <c:v>4557</c:v>
                </c:pt>
                <c:pt idx="6">
                  <c:v>4555</c:v>
                </c:pt>
                <c:pt idx="7">
                  <c:v>4461</c:v>
                </c:pt>
                <c:pt idx="8">
                  <c:v>4430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97-41EA-8B30-F6E7E179974A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696238800"/>
        <c:axId val="683216624"/>
      </c:barChart>
      <c:catAx>
        <c:axId val="69623880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3216624"/>
        <c:crosses val="autoZero"/>
        <c:auto val="1"/>
        <c:lblAlgn val="ctr"/>
        <c:lblOffset val="100"/>
        <c:noMultiLvlLbl val="0"/>
      </c:catAx>
      <c:valAx>
        <c:axId val="683216624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6238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510540</xdr:colOff>
      <xdr:row>16</xdr:row>
      <xdr:rowOff>163830</xdr:rowOff>
    </xdr:from>
    <xdr:to>
      <xdr:col>15</xdr:col>
      <xdr:colOff>60960</xdr:colOff>
      <xdr:row>31</xdr:row>
      <xdr:rowOff>15240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C72C641-2392-8F9D-DB53-27DF7793C4D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16</xdr:row>
      <xdr:rowOff>167640</xdr:rowOff>
    </xdr:from>
    <xdr:to>
      <xdr:col>7</xdr:col>
      <xdr:colOff>0</xdr:colOff>
      <xdr:row>31</xdr:row>
      <xdr:rowOff>7620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137B4E6-9EB7-70D5-7A46-742767A9FE2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579120</xdr:colOff>
      <xdr:row>32</xdr:row>
      <xdr:rowOff>133350</xdr:rowOff>
    </xdr:from>
    <xdr:to>
      <xdr:col>15</xdr:col>
      <xdr:colOff>274320</xdr:colOff>
      <xdr:row>47</xdr:row>
      <xdr:rowOff>133350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AB40726C-F2B0-F88B-7FD7-8885A06FD61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121920</xdr:colOff>
          <xdr:row>7</xdr:row>
          <xdr:rowOff>22860</xdr:rowOff>
        </xdr:from>
        <xdr:to>
          <xdr:col>17</xdr:col>
          <xdr:colOff>525780</xdr:colOff>
          <xdr:row>7</xdr:row>
          <xdr:rowOff>160020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114300</xdr:colOff>
          <xdr:row>10</xdr:row>
          <xdr:rowOff>312420</xdr:rowOff>
        </xdr:from>
        <xdr:to>
          <xdr:col>17</xdr:col>
          <xdr:colOff>533400</xdr:colOff>
          <xdr:row>10</xdr:row>
          <xdr:rowOff>441960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167640</xdr:colOff>
          <xdr:row>13</xdr:row>
          <xdr:rowOff>121920</xdr:rowOff>
        </xdr:from>
        <xdr:to>
          <xdr:col>17</xdr:col>
          <xdr:colOff>457200</xdr:colOff>
          <xdr:row>14</xdr:row>
          <xdr:rowOff>45720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99060</xdr:colOff>
          <xdr:row>16</xdr:row>
          <xdr:rowOff>91440</xdr:rowOff>
        </xdr:from>
        <xdr:to>
          <xdr:col>17</xdr:col>
          <xdr:colOff>525780</xdr:colOff>
          <xdr:row>17</xdr:row>
          <xdr:rowOff>60960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106680</xdr:colOff>
          <xdr:row>1</xdr:row>
          <xdr:rowOff>129540</xdr:rowOff>
        </xdr:from>
        <xdr:to>
          <xdr:col>17</xdr:col>
          <xdr:colOff>472440</xdr:colOff>
          <xdr:row>5</xdr:row>
          <xdr:rowOff>167640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AI INVENTORY ANALYZER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E056B8-6B70-4404-B396-3163FD51BF0A}" name="Table1" displayName="Table1" ref="A1:K201" totalsRowShown="0" headerRowDxfId="13">
  <autoFilter ref="A1:K201" xr:uid="{A4E056B8-6B70-4404-B396-3163FD51BF0A}"/>
  <tableColumns count="11">
    <tableColumn id="1" xr3:uid="{4040182D-806D-4AC1-ACDB-C020A56E9AC9}" name="Item ID"/>
    <tableColumn id="2" xr3:uid="{C64ED4F2-99D1-409B-AA2A-9AEF304DEC82}" name="Item Name"/>
    <tableColumn id="3" xr3:uid="{53A0F660-DD36-41AA-8AFB-384A9A0EA473}" name="Category"/>
    <tableColumn id="4" xr3:uid="{71324521-3C56-4606-B3A6-FFFC601FA392}" name="Quantity"/>
    <tableColumn id="5" xr3:uid="{E644C187-2A57-4805-A93C-33BF8FB00215}" name="Unit"/>
    <tableColumn id="6" xr3:uid="{E676D663-59D0-4635-B963-EE01180336D7}" name="Date Received"/>
    <tableColumn id="7" xr3:uid="{6A5725D6-DA6E-4A70-B070-54FC2C12211F}" name="Expiry Date"/>
    <tableColumn id="8" xr3:uid="{65DBA8BC-BB73-4714-8E59-D03420915974}" name="Supplier"/>
    <tableColumn id="9" xr3:uid="{28DF9BAE-D474-43A7-9664-06A7D98E6B96}" name="Storage Location"/>
    <tableColumn id="10" xr3:uid="{4CEFF7A1-8D3D-44A0-A42B-0C6BD79DE59E}" name="Status"/>
    <tableColumn id="11" xr3:uid="{36E12EE8-C18D-47A6-9AD2-98DC4B0B88F5}" name="Remark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B45A8-CC23-483D-A984-6C63442F372F}">
  <sheetPr codeName="Sheet1">
    <tabColor theme="4"/>
  </sheetPr>
  <dimension ref="A1:S230"/>
  <sheetViews>
    <sheetView topLeftCell="A26" workbookViewId="0">
      <selection activeCell="T19" sqref="T19"/>
    </sheetView>
  </sheetViews>
  <sheetFormatPr defaultRowHeight="14.4"/>
  <cols>
    <col min="2" max="2" width="13.33203125" bestFit="1" customWidth="1"/>
    <col min="6" max="6" width="15.77734375" customWidth="1"/>
  </cols>
  <sheetData>
    <row r="1" spans="1:18" ht="14.4" customHeight="1">
      <c r="A1" s="24" t="s">
        <v>41</v>
      </c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</row>
    <row r="2" spans="1:18">
      <c r="A2" s="25"/>
      <c r="B2" s="25"/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</row>
    <row r="5" spans="1:18" ht="14.4" customHeight="1">
      <c r="A5" s="26" t="s">
        <v>484</v>
      </c>
      <c r="B5" s="26"/>
      <c r="C5" s="26"/>
      <c r="E5" s="5"/>
      <c r="F5" s="5"/>
      <c r="G5" s="5"/>
      <c r="I5" s="12"/>
      <c r="J5" s="5"/>
      <c r="K5" s="5"/>
      <c r="M5" s="11"/>
      <c r="N5" s="11"/>
      <c r="O5" s="11"/>
    </row>
    <row r="6" spans="1:18" ht="30.6" customHeight="1">
      <c r="A6" s="26"/>
      <c r="B6" s="26"/>
      <c r="C6" s="26"/>
      <c r="E6" s="5"/>
      <c r="F6" s="13" t="s">
        <v>485</v>
      </c>
      <c r="G6" s="5"/>
      <c r="I6" s="5"/>
      <c r="J6" s="12" t="s">
        <v>486</v>
      </c>
      <c r="K6" s="5"/>
      <c r="M6" s="15" t="s">
        <v>487</v>
      </c>
      <c r="N6" s="15"/>
      <c r="O6" s="11"/>
    </row>
    <row r="7" spans="1:18" ht="30.6" customHeight="1">
      <c r="A7" s="5"/>
      <c r="B7" s="6">
        <f>ROWS(Table1[Item ID])</f>
        <v>200</v>
      </c>
      <c r="C7" s="5"/>
      <c r="E7" s="5"/>
      <c r="F7" s="12">
        <f>SUM(Inventory!D:D)</f>
        <v>189952</v>
      </c>
      <c r="G7" s="5"/>
      <c r="I7" s="5"/>
      <c r="J7" s="5">
        <f>COUNTIF(Inventory!J:J,"Low Stock")</f>
        <v>19</v>
      </c>
      <c r="K7" s="5"/>
      <c r="M7" s="11"/>
      <c r="N7" s="5">
        <f>COUNTIF(Inventory!J:J,"Expiring Soon")</f>
        <v>7</v>
      </c>
      <c r="O7" s="11"/>
      <c r="Q7" s="29" t="s">
        <v>45</v>
      </c>
      <c r="R7" s="28"/>
    </row>
    <row r="8" spans="1:18" ht="14.4" customHeight="1">
      <c r="A8" s="5"/>
      <c r="B8" s="5"/>
      <c r="C8" s="5"/>
      <c r="E8" s="5"/>
      <c r="F8" s="5"/>
      <c r="G8" s="5"/>
      <c r="I8" s="5"/>
      <c r="J8" s="5"/>
      <c r="K8" s="5"/>
      <c r="M8" s="11"/>
      <c r="N8" s="11"/>
      <c r="O8" s="11"/>
      <c r="Q8" s="28"/>
      <c r="R8" s="28"/>
    </row>
    <row r="9" spans="1:18" ht="13.8" customHeight="1"/>
    <row r="10" spans="1:18" hidden="1">
      <c r="Q10" s="30" t="s">
        <v>46</v>
      </c>
      <c r="R10" s="28"/>
    </row>
    <row r="11" spans="1:18" ht="36.6" customHeight="1">
      <c r="A11" s="11"/>
      <c r="B11" s="14" t="s">
        <v>488</v>
      </c>
      <c r="C11" s="11"/>
      <c r="E11" s="11"/>
      <c r="F11" s="5" t="s">
        <v>489</v>
      </c>
      <c r="G11" s="11"/>
      <c r="I11" s="11"/>
      <c r="J11" s="12" t="s">
        <v>490</v>
      </c>
      <c r="K11" s="11"/>
      <c r="M11" s="11"/>
      <c r="N11" s="12" t="s">
        <v>491</v>
      </c>
      <c r="O11" s="11"/>
      <c r="Q11" s="28"/>
      <c r="R11" s="28"/>
    </row>
    <row r="12" spans="1:18" ht="14.4" customHeight="1">
      <c r="A12" s="11"/>
      <c r="B12" s="5">
        <f>COUNTIF(Inventory!J:J,"Expired")</f>
        <v>5</v>
      </c>
      <c r="C12" s="11"/>
      <c r="E12" s="11"/>
      <c r="F12" s="5">
        <f>COUNTIF(Inventory!C:C,"Ration")</f>
        <v>64</v>
      </c>
      <c r="G12" s="11"/>
      <c r="I12" s="11"/>
      <c r="J12" s="5">
        <f>COUNTIF(Inventory!C:C,"Ammunition")</f>
        <v>72</v>
      </c>
      <c r="K12" s="11"/>
      <c r="M12" s="11"/>
      <c r="N12" s="5">
        <f>COUNTIF(Inventory!C:C,"Equipment")</f>
        <v>64</v>
      </c>
      <c r="O12" s="11"/>
    </row>
    <row r="13" spans="1:18" ht="14.4" customHeight="1">
      <c r="A13" s="11"/>
      <c r="B13" s="11"/>
      <c r="C13" s="11"/>
      <c r="E13" s="11"/>
      <c r="F13" s="11"/>
      <c r="G13" s="11"/>
      <c r="I13" s="11"/>
      <c r="J13" s="11"/>
      <c r="K13" s="11"/>
      <c r="M13" s="11"/>
      <c r="N13" s="11"/>
      <c r="O13" s="11"/>
      <c r="Q13" s="31" t="s">
        <v>47</v>
      </c>
      <c r="R13" s="28"/>
    </row>
    <row r="14" spans="1:18" ht="14.4" customHeight="1">
      <c r="I14" s="11"/>
      <c r="J14" s="11"/>
      <c r="K14" s="11"/>
      <c r="M14" s="11"/>
      <c r="N14" s="11"/>
      <c r="O14" s="11"/>
      <c r="Q14" s="28"/>
      <c r="R14" s="28"/>
    </row>
    <row r="16" spans="1:18" ht="14.4" customHeight="1">
      <c r="Q16" s="32" t="s">
        <v>48</v>
      </c>
      <c r="R16" s="28"/>
    </row>
    <row r="17" spans="1:19">
      <c r="Q17" s="28"/>
      <c r="R17" s="28"/>
    </row>
    <row r="18" spans="1:19">
      <c r="A18" s="27" t="s">
        <v>42</v>
      </c>
      <c r="B18" s="28"/>
      <c r="C18" s="28"/>
      <c r="D18" s="28"/>
      <c r="E18" s="28"/>
      <c r="F18" s="28"/>
      <c r="G18" s="28"/>
      <c r="I18" s="27" t="s">
        <v>43</v>
      </c>
      <c r="J18" s="28"/>
      <c r="K18" s="28"/>
      <c r="L18" s="28"/>
      <c r="M18" s="28"/>
      <c r="N18" s="28"/>
      <c r="O18" s="28"/>
    </row>
    <row r="19" spans="1:19">
      <c r="A19" s="28"/>
      <c r="B19" s="28"/>
      <c r="C19" s="28"/>
      <c r="D19" s="28"/>
      <c r="E19" s="28"/>
      <c r="F19" s="28"/>
      <c r="G19" s="28"/>
      <c r="I19" s="28"/>
      <c r="J19" s="28"/>
      <c r="K19" s="28"/>
      <c r="L19" s="28"/>
      <c r="M19" s="28"/>
      <c r="N19" s="28"/>
      <c r="O19" s="28"/>
    </row>
    <row r="20" spans="1:19">
      <c r="A20" s="28"/>
      <c r="B20" s="28"/>
      <c r="C20" s="28"/>
      <c r="D20" s="28"/>
      <c r="E20" s="28"/>
      <c r="F20" s="28"/>
      <c r="G20" s="28"/>
      <c r="I20" s="28"/>
      <c r="J20" s="28"/>
      <c r="K20" s="28"/>
      <c r="L20" s="28"/>
      <c r="M20" s="28"/>
      <c r="N20" s="28"/>
      <c r="O20" s="28"/>
    </row>
    <row r="21" spans="1:19">
      <c r="A21" s="28"/>
      <c r="B21" s="28"/>
      <c r="C21" s="28"/>
      <c r="D21" s="28"/>
      <c r="E21" s="28"/>
      <c r="F21" s="28"/>
      <c r="G21" s="28"/>
      <c r="I21" s="28"/>
      <c r="J21" s="28"/>
      <c r="K21" s="28"/>
      <c r="L21" s="28"/>
      <c r="M21" s="28"/>
      <c r="N21" s="28"/>
      <c r="O21" s="28"/>
    </row>
    <row r="22" spans="1:19">
      <c r="A22" s="28"/>
      <c r="B22" s="28"/>
      <c r="C22" s="28"/>
      <c r="D22" s="28"/>
      <c r="E22" s="28"/>
      <c r="F22" s="28"/>
      <c r="G22" s="28"/>
      <c r="I22" s="28"/>
      <c r="J22" s="28"/>
      <c r="K22" s="28"/>
      <c r="L22" s="28"/>
      <c r="M22" s="28"/>
      <c r="N22" s="28"/>
      <c r="O22" s="28"/>
      <c r="R22" s="19" t="s">
        <v>2</v>
      </c>
      <c r="S22" s="18" t="s">
        <v>492</v>
      </c>
    </row>
    <row r="23" spans="1:19">
      <c r="A23" s="28"/>
      <c r="B23" s="28"/>
      <c r="C23" s="28"/>
      <c r="D23" s="28"/>
      <c r="E23" s="28"/>
      <c r="F23" s="28"/>
      <c r="G23" s="28"/>
      <c r="I23" s="28"/>
      <c r="J23" s="28"/>
      <c r="K23" s="28"/>
      <c r="L23" s="28"/>
      <c r="M23" s="28"/>
      <c r="N23" s="28"/>
      <c r="O23" s="28"/>
      <c r="R23" s="1" t="s">
        <v>12</v>
      </c>
      <c r="S23" s="20">
        <f>COUNTIF(Table1[Category],"Ration")</f>
        <v>64</v>
      </c>
    </row>
    <row r="24" spans="1:19" ht="28.8">
      <c r="A24" s="28"/>
      <c r="B24" s="28"/>
      <c r="C24" s="28"/>
      <c r="D24" s="28"/>
      <c r="E24" s="28"/>
      <c r="F24" s="28"/>
      <c r="G24" s="28"/>
      <c r="I24" s="28"/>
      <c r="J24" s="28"/>
      <c r="K24" s="28"/>
      <c r="L24" s="28"/>
      <c r="M24" s="28"/>
      <c r="N24" s="28"/>
      <c r="O24" s="28"/>
      <c r="R24" s="1" t="s">
        <v>13</v>
      </c>
      <c r="S24" s="20">
        <f>COUNTIF(Table1[Category],"Ammunition")</f>
        <v>72</v>
      </c>
    </row>
    <row r="25" spans="1:19" ht="28.8">
      <c r="A25" s="28"/>
      <c r="B25" s="28"/>
      <c r="C25" s="28"/>
      <c r="D25" s="28"/>
      <c r="E25" s="28"/>
      <c r="F25" s="28"/>
      <c r="G25" s="28"/>
      <c r="I25" s="28"/>
      <c r="J25" s="28"/>
      <c r="K25" s="28"/>
      <c r="L25" s="28"/>
      <c r="M25" s="28"/>
      <c r="N25" s="28"/>
      <c r="O25" s="28"/>
      <c r="R25" s="1" t="s">
        <v>14</v>
      </c>
      <c r="S25" s="20">
        <f>COUNTIF(Table1[Category],"Equipment")</f>
        <v>64</v>
      </c>
    </row>
    <row r="26" spans="1:19">
      <c r="A26" s="28"/>
      <c r="B26" s="28"/>
      <c r="C26" s="28"/>
      <c r="D26" s="28"/>
      <c r="E26" s="28"/>
      <c r="F26" s="28"/>
      <c r="G26" s="28"/>
      <c r="I26" s="28"/>
      <c r="J26" s="28"/>
      <c r="K26" s="28"/>
      <c r="L26" s="28"/>
      <c r="M26" s="28"/>
      <c r="N26" s="28"/>
      <c r="O26" s="28"/>
    </row>
    <row r="27" spans="1:19">
      <c r="A27" s="28"/>
      <c r="B27" s="28"/>
      <c r="C27" s="28"/>
      <c r="D27" s="28"/>
      <c r="E27" s="28"/>
      <c r="F27" s="28"/>
      <c r="G27" s="28"/>
      <c r="I27" s="28"/>
      <c r="J27" s="28"/>
      <c r="K27" s="28"/>
      <c r="L27" s="28"/>
      <c r="M27" s="28"/>
      <c r="N27" s="28"/>
      <c r="O27" s="28"/>
    </row>
    <row r="28" spans="1:19">
      <c r="A28" s="28"/>
      <c r="B28" s="28"/>
      <c r="C28" s="28"/>
      <c r="D28" s="28"/>
      <c r="E28" s="28"/>
      <c r="F28" s="28"/>
      <c r="G28" s="28"/>
      <c r="I28" s="28"/>
      <c r="J28" s="28"/>
      <c r="K28" s="28"/>
      <c r="L28" s="28"/>
      <c r="M28" s="28"/>
      <c r="N28" s="28"/>
      <c r="O28" s="28"/>
    </row>
    <row r="29" spans="1:19">
      <c r="A29" s="28"/>
      <c r="B29" s="28"/>
      <c r="C29" s="28"/>
      <c r="D29" s="28"/>
      <c r="E29" s="28"/>
      <c r="F29" s="28"/>
      <c r="G29" s="28"/>
      <c r="I29" s="28"/>
      <c r="J29" s="28"/>
      <c r="K29" s="28"/>
      <c r="L29" s="28"/>
      <c r="M29" s="28"/>
      <c r="N29" s="28"/>
      <c r="O29" s="28"/>
    </row>
    <row r="30" spans="1:19" ht="28.8">
      <c r="A30" s="28"/>
      <c r="B30" s="28"/>
      <c r="C30" s="28"/>
      <c r="D30" s="28"/>
      <c r="E30" s="28"/>
      <c r="F30" s="28"/>
      <c r="G30" s="28"/>
      <c r="I30" s="28"/>
      <c r="J30" s="28"/>
      <c r="K30" s="28"/>
      <c r="L30" s="28"/>
      <c r="M30" s="28"/>
      <c r="N30" s="28"/>
      <c r="O30" s="28"/>
      <c r="Q30" s="22" t="s">
        <v>1</v>
      </c>
      <c r="R30" s="23" t="s">
        <v>3</v>
      </c>
    </row>
    <row r="31" spans="1:19">
      <c r="A31" s="28"/>
      <c r="B31" s="28"/>
      <c r="C31" s="28"/>
      <c r="D31" s="28"/>
      <c r="E31" s="28"/>
      <c r="F31" s="28"/>
      <c r="G31" s="28"/>
      <c r="I31" s="28"/>
      <c r="J31" s="28"/>
      <c r="K31" s="28"/>
      <c r="L31" s="28"/>
      <c r="M31" s="28"/>
      <c r="N31" s="28"/>
      <c r="O31" s="28"/>
      <c r="Q31" s="10" t="s">
        <v>69</v>
      </c>
      <c r="R31" s="10">
        <v>4927</v>
      </c>
    </row>
    <row r="32" spans="1:19">
      <c r="Q32" s="9" t="s">
        <v>63</v>
      </c>
      <c r="R32" s="9">
        <v>4926</v>
      </c>
    </row>
    <row r="33" spans="1:18">
      <c r="Q33" s="10" t="s">
        <v>91</v>
      </c>
      <c r="R33" s="10">
        <v>4780</v>
      </c>
    </row>
    <row r="34" spans="1:18" ht="14.4" customHeight="1">
      <c r="I34" s="7" t="s">
        <v>44</v>
      </c>
      <c r="J34" s="8"/>
      <c r="K34" s="8"/>
      <c r="L34" s="8"/>
      <c r="M34" s="8"/>
      <c r="N34" s="8"/>
      <c r="O34" s="8"/>
      <c r="Q34" s="9" t="s">
        <v>91</v>
      </c>
      <c r="R34" s="9">
        <v>4666</v>
      </c>
    </row>
    <row r="35" spans="1:18" ht="21">
      <c r="A35" s="35" t="s">
        <v>506</v>
      </c>
      <c r="B35" s="36"/>
      <c r="C35" s="36"/>
      <c r="D35" s="36"/>
      <c r="E35" s="36"/>
      <c r="F35" s="36"/>
      <c r="G35" s="37"/>
      <c r="I35" s="8"/>
      <c r="J35" s="8"/>
      <c r="K35" s="8"/>
      <c r="L35" s="8"/>
      <c r="M35" s="8"/>
      <c r="N35" s="8"/>
      <c r="O35" s="8"/>
      <c r="Q35" s="9" t="s">
        <v>150</v>
      </c>
      <c r="R35" s="9">
        <v>4643</v>
      </c>
    </row>
    <row r="36" spans="1:18" ht="14.4" customHeight="1">
      <c r="A36" s="38" t="s">
        <v>507</v>
      </c>
      <c r="B36" s="38"/>
      <c r="C36" s="38"/>
      <c r="D36" s="38"/>
      <c r="E36" s="38"/>
      <c r="F36" s="38"/>
      <c r="G36" s="38"/>
      <c r="I36" s="8"/>
      <c r="J36" s="8"/>
      <c r="K36" s="8"/>
      <c r="L36" s="8"/>
      <c r="M36" s="8"/>
      <c r="N36" s="8"/>
      <c r="O36" s="8"/>
      <c r="Q36" s="9" t="s">
        <v>74</v>
      </c>
      <c r="R36" s="9">
        <v>4557</v>
      </c>
    </row>
    <row r="37" spans="1:18">
      <c r="A37" s="39"/>
      <c r="B37" s="39"/>
      <c r="C37" s="39"/>
      <c r="D37" s="39"/>
      <c r="E37" s="39"/>
      <c r="F37" s="39"/>
      <c r="G37" s="39"/>
      <c r="I37" s="8"/>
      <c r="J37" s="8"/>
      <c r="K37" s="8"/>
      <c r="L37" s="8"/>
      <c r="M37" s="8"/>
      <c r="N37" s="8"/>
      <c r="O37" s="8"/>
      <c r="Q37" s="9" t="s">
        <v>150</v>
      </c>
      <c r="R37" s="9">
        <v>4555</v>
      </c>
    </row>
    <row r="38" spans="1:18">
      <c r="A38" s="39"/>
      <c r="B38" s="39"/>
      <c r="C38" s="39"/>
      <c r="D38" s="39"/>
      <c r="E38" s="39"/>
      <c r="F38" s="39"/>
      <c r="G38" s="39"/>
      <c r="I38" s="8"/>
      <c r="J38" s="8"/>
      <c r="K38" s="8"/>
      <c r="L38" s="8"/>
      <c r="M38" s="8"/>
      <c r="N38" s="8"/>
      <c r="O38" s="8"/>
      <c r="Q38" s="9" t="s">
        <v>204</v>
      </c>
      <c r="R38" s="9">
        <v>4461</v>
      </c>
    </row>
    <row r="39" spans="1:18">
      <c r="A39" s="39"/>
      <c r="B39" s="39"/>
      <c r="C39" s="39"/>
      <c r="D39" s="39"/>
      <c r="E39" s="39"/>
      <c r="F39" s="39"/>
      <c r="G39" s="39"/>
      <c r="I39" s="8"/>
      <c r="J39" s="8"/>
      <c r="K39" s="8"/>
      <c r="L39" s="8"/>
      <c r="M39" s="8"/>
      <c r="N39" s="8"/>
      <c r="O39" s="8"/>
      <c r="Q39" s="10" t="s">
        <v>204</v>
      </c>
      <c r="R39" s="10">
        <v>4430</v>
      </c>
    </row>
    <row r="40" spans="1:18">
      <c r="A40" s="39"/>
      <c r="B40" s="39"/>
      <c r="C40" s="39"/>
      <c r="D40" s="39"/>
      <c r="E40" s="39"/>
      <c r="F40" s="39"/>
      <c r="G40" s="39"/>
      <c r="H40" s="34"/>
      <c r="I40" s="8"/>
      <c r="J40" s="8"/>
      <c r="K40" s="8"/>
      <c r="L40" s="8"/>
      <c r="M40" s="8"/>
      <c r="N40" s="8"/>
      <c r="P40" s="9" t="s">
        <v>69</v>
      </c>
      <c r="Q40" s="9">
        <v>4215</v>
      </c>
    </row>
    <row r="41" spans="1:18">
      <c r="A41" s="39"/>
      <c r="B41" s="39"/>
      <c r="C41" s="39"/>
      <c r="D41" s="39"/>
      <c r="E41" s="39"/>
      <c r="F41" s="39"/>
      <c r="G41" s="39"/>
      <c r="I41" s="8"/>
      <c r="J41" s="8"/>
      <c r="K41" s="8"/>
      <c r="L41" s="8"/>
      <c r="M41" s="8"/>
      <c r="N41" s="8"/>
      <c r="O41" s="8"/>
      <c r="Q41" s="9" t="s">
        <v>63</v>
      </c>
      <c r="R41" s="9">
        <v>4022</v>
      </c>
    </row>
    <row r="42" spans="1:18">
      <c r="A42" s="39"/>
      <c r="B42" s="39"/>
      <c r="C42" s="39"/>
      <c r="D42" s="39"/>
      <c r="E42" s="39"/>
      <c r="F42" s="39"/>
      <c r="G42" s="39"/>
      <c r="I42" s="8"/>
      <c r="J42" s="8"/>
      <c r="K42" s="8"/>
      <c r="L42" s="8"/>
      <c r="M42" s="8"/>
      <c r="N42" s="8"/>
      <c r="O42" s="8"/>
      <c r="Q42" s="9" t="s">
        <v>74</v>
      </c>
      <c r="R42" s="9">
        <v>4012</v>
      </c>
    </row>
    <row r="43" spans="1:18">
      <c r="A43" s="39"/>
      <c r="B43" s="39"/>
      <c r="C43" s="39"/>
      <c r="D43" s="39"/>
      <c r="E43" s="39"/>
      <c r="F43" s="39"/>
      <c r="G43" s="39"/>
      <c r="I43" s="8"/>
      <c r="J43" s="8"/>
      <c r="K43" s="8"/>
      <c r="L43" s="8"/>
      <c r="M43" s="8"/>
      <c r="N43" s="8"/>
      <c r="O43" s="8"/>
      <c r="Q43" s="9" t="s">
        <v>63</v>
      </c>
      <c r="R43" s="9">
        <v>3946</v>
      </c>
    </row>
    <row r="44" spans="1:18">
      <c r="A44" s="39"/>
      <c r="B44" s="39"/>
      <c r="C44" s="39"/>
      <c r="D44" s="39"/>
      <c r="E44" s="39"/>
      <c r="F44" s="39"/>
      <c r="G44" s="39"/>
      <c r="I44" s="8"/>
      <c r="J44" s="8"/>
      <c r="K44" s="8"/>
      <c r="L44" s="8"/>
      <c r="M44" s="8"/>
      <c r="N44" s="8"/>
      <c r="O44" s="8"/>
      <c r="Q44" s="10" t="s">
        <v>150</v>
      </c>
      <c r="R44" s="10">
        <v>3927</v>
      </c>
    </row>
    <row r="45" spans="1:18">
      <c r="A45" s="39"/>
      <c r="B45" s="39"/>
      <c r="C45" s="39"/>
      <c r="D45" s="39"/>
      <c r="E45" s="39"/>
      <c r="F45" s="39"/>
      <c r="G45" s="39"/>
      <c r="I45" s="8"/>
      <c r="J45" s="8"/>
      <c r="K45" s="8"/>
      <c r="L45" s="8"/>
      <c r="M45" s="8"/>
      <c r="N45" s="8"/>
      <c r="O45" s="8"/>
      <c r="Q45" s="10" t="s">
        <v>91</v>
      </c>
      <c r="R45" s="10">
        <v>3897</v>
      </c>
    </row>
    <row r="46" spans="1:18">
      <c r="A46" s="39"/>
      <c r="B46" s="39"/>
      <c r="C46" s="39"/>
      <c r="D46" s="39"/>
      <c r="E46" s="39"/>
      <c r="F46" s="39"/>
      <c r="G46" s="39"/>
      <c r="I46" s="8"/>
      <c r="J46" s="8"/>
      <c r="K46" s="8"/>
      <c r="L46" s="8"/>
      <c r="M46" s="8"/>
      <c r="N46" s="8"/>
      <c r="O46" s="8"/>
      <c r="Q46" s="9" t="s">
        <v>74</v>
      </c>
      <c r="R46" s="9">
        <v>3699</v>
      </c>
    </row>
    <row r="47" spans="1:18">
      <c r="A47" s="39"/>
      <c r="B47" s="39"/>
      <c r="C47" s="39"/>
      <c r="D47" s="39"/>
      <c r="E47" s="39"/>
      <c r="F47" s="39"/>
      <c r="G47" s="39"/>
      <c r="I47" s="8"/>
      <c r="J47" s="8"/>
      <c r="K47" s="8"/>
      <c r="L47" s="8"/>
      <c r="M47" s="8"/>
      <c r="N47" s="8"/>
      <c r="O47" s="8"/>
      <c r="Q47" s="9" t="s">
        <v>91</v>
      </c>
      <c r="R47" s="9">
        <v>3458</v>
      </c>
    </row>
    <row r="48" spans="1:18">
      <c r="A48" s="39"/>
      <c r="B48" s="39"/>
      <c r="C48" s="39"/>
      <c r="D48" s="39"/>
      <c r="E48" s="39"/>
      <c r="F48" s="39"/>
      <c r="G48" s="39"/>
      <c r="Q48" s="10" t="s">
        <v>204</v>
      </c>
      <c r="R48" s="10">
        <v>3453</v>
      </c>
    </row>
    <row r="49" spans="1:18">
      <c r="A49" s="39"/>
      <c r="B49" s="39"/>
      <c r="C49" s="39"/>
      <c r="D49" s="39"/>
      <c r="E49" s="39"/>
      <c r="F49" s="39"/>
      <c r="G49" s="39"/>
      <c r="Q49" s="9" t="s">
        <v>204</v>
      </c>
      <c r="R49" s="9">
        <v>3392</v>
      </c>
    </row>
    <row r="50" spans="1:18" ht="21" customHeight="1">
      <c r="A50" s="39"/>
      <c r="B50" s="39"/>
      <c r="C50" s="39"/>
      <c r="D50" s="39"/>
      <c r="E50" s="39"/>
      <c r="F50" s="39"/>
      <c r="G50" s="39"/>
      <c r="Q50" s="9" t="s">
        <v>74</v>
      </c>
      <c r="R50" s="9">
        <v>3142</v>
      </c>
    </row>
    <row r="51" spans="1:18">
      <c r="A51" s="39"/>
      <c r="B51" s="39"/>
      <c r="C51" s="39"/>
      <c r="D51" s="39"/>
      <c r="E51" s="39"/>
      <c r="F51" s="39"/>
      <c r="G51" s="39"/>
      <c r="Q51" s="10" t="s">
        <v>63</v>
      </c>
      <c r="R51" s="10">
        <v>3062</v>
      </c>
    </row>
    <row r="52" spans="1:18">
      <c r="Q52" s="9" t="s">
        <v>150</v>
      </c>
      <c r="R52" s="9">
        <v>3062</v>
      </c>
    </row>
    <row r="53" spans="1:18">
      <c r="I53" s="27"/>
      <c r="J53" s="28"/>
      <c r="K53" s="28"/>
      <c r="L53" s="28"/>
      <c r="M53" s="28"/>
      <c r="N53" s="28"/>
      <c r="O53" s="28"/>
      <c r="Q53" s="9" t="s">
        <v>63</v>
      </c>
      <c r="R53" s="9">
        <v>3052</v>
      </c>
    </row>
    <row r="54" spans="1:18">
      <c r="I54" s="28"/>
      <c r="J54" s="28"/>
      <c r="K54" s="28"/>
      <c r="L54" s="28"/>
      <c r="M54" s="28"/>
      <c r="N54" s="28"/>
      <c r="O54" s="28"/>
      <c r="Q54" s="9" t="s">
        <v>204</v>
      </c>
      <c r="R54" s="9">
        <v>2880</v>
      </c>
    </row>
    <row r="55" spans="1:18">
      <c r="I55" s="28"/>
      <c r="J55" s="28"/>
      <c r="K55" s="28"/>
      <c r="L55" s="28"/>
      <c r="M55" s="28"/>
      <c r="N55" s="28"/>
      <c r="O55" s="28"/>
      <c r="Q55" s="10" t="s">
        <v>63</v>
      </c>
      <c r="R55" s="10">
        <v>2825</v>
      </c>
    </row>
    <row r="56" spans="1:18">
      <c r="I56" s="28"/>
      <c r="J56" s="28"/>
      <c r="K56" s="28"/>
      <c r="L56" s="28"/>
      <c r="M56" s="28"/>
      <c r="N56" s="28"/>
      <c r="O56" s="28"/>
      <c r="Q56" s="10" t="s">
        <v>63</v>
      </c>
      <c r="R56" s="10">
        <v>2769</v>
      </c>
    </row>
    <row r="57" spans="1:18">
      <c r="I57" s="28"/>
      <c r="J57" s="28"/>
      <c r="K57" s="28"/>
      <c r="L57" s="28"/>
      <c r="M57" s="28"/>
      <c r="N57" s="28"/>
      <c r="O57" s="28"/>
      <c r="Q57" s="9" t="s">
        <v>204</v>
      </c>
      <c r="R57" s="9">
        <v>2754</v>
      </c>
    </row>
    <row r="58" spans="1:18">
      <c r="I58" s="28"/>
      <c r="J58" s="28"/>
      <c r="K58" s="28"/>
      <c r="L58" s="28"/>
      <c r="M58" s="28"/>
      <c r="N58" s="28"/>
      <c r="O58" s="28"/>
      <c r="Q58" s="10" t="s">
        <v>150</v>
      </c>
      <c r="R58" s="10">
        <v>2687</v>
      </c>
    </row>
    <row r="59" spans="1:18">
      <c r="I59" s="28"/>
      <c r="J59" s="28"/>
      <c r="K59" s="28"/>
      <c r="L59" s="28"/>
      <c r="M59" s="28"/>
      <c r="N59" s="28"/>
      <c r="O59" s="28"/>
      <c r="Q59" s="10" t="s">
        <v>150</v>
      </c>
      <c r="R59" s="10">
        <v>2435</v>
      </c>
    </row>
    <row r="60" spans="1:18">
      <c r="I60" s="28"/>
      <c r="J60" s="28"/>
      <c r="K60" s="28"/>
      <c r="L60" s="28"/>
      <c r="M60" s="28"/>
      <c r="N60" s="28"/>
      <c r="O60" s="28"/>
      <c r="Q60" s="10" t="s">
        <v>74</v>
      </c>
      <c r="R60" s="10">
        <v>2433</v>
      </c>
    </row>
    <row r="61" spans="1:18">
      <c r="I61" s="28"/>
      <c r="J61" s="28"/>
      <c r="K61" s="28"/>
      <c r="L61" s="28"/>
      <c r="M61" s="28"/>
      <c r="N61" s="28"/>
      <c r="O61" s="28"/>
      <c r="Q61" s="10" t="s">
        <v>150</v>
      </c>
      <c r="R61" s="10">
        <v>2429</v>
      </c>
    </row>
    <row r="62" spans="1:18">
      <c r="I62" s="28"/>
      <c r="J62" s="28"/>
      <c r="K62" s="28"/>
      <c r="L62" s="28"/>
      <c r="M62" s="28"/>
      <c r="N62" s="28"/>
      <c r="O62" s="28"/>
      <c r="Q62" s="9" t="s">
        <v>69</v>
      </c>
      <c r="R62" s="9">
        <v>2379</v>
      </c>
    </row>
    <row r="63" spans="1:18">
      <c r="I63" s="28"/>
      <c r="J63" s="28"/>
      <c r="K63" s="28"/>
      <c r="L63" s="28"/>
      <c r="M63" s="28"/>
      <c r="N63" s="28"/>
      <c r="O63" s="28"/>
      <c r="Q63" s="10" t="s">
        <v>204</v>
      </c>
      <c r="R63" s="10">
        <v>2337</v>
      </c>
    </row>
    <row r="64" spans="1:18">
      <c r="I64" s="28"/>
      <c r="J64" s="28"/>
      <c r="K64" s="28"/>
      <c r="L64" s="28"/>
      <c r="M64" s="28"/>
      <c r="N64" s="28"/>
      <c r="O64" s="28"/>
      <c r="Q64" s="9" t="s">
        <v>63</v>
      </c>
      <c r="R64" s="9">
        <v>2299</v>
      </c>
    </row>
    <row r="65" spans="9:18">
      <c r="I65" s="28"/>
      <c r="J65" s="28"/>
      <c r="K65" s="28"/>
      <c r="L65" s="28"/>
      <c r="M65" s="28"/>
      <c r="N65" s="28"/>
      <c r="O65" s="28"/>
      <c r="Q65" s="10" t="s">
        <v>91</v>
      </c>
      <c r="R65" s="10">
        <v>2291</v>
      </c>
    </row>
    <row r="66" spans="9:18">
      <c r="I66" s="28"/>
      <c r="J66" s="28"/>
      <c r="K66" s="28"/>
      <c r="L66" s="28"/>
      <c r="M66" s="28"/>
      <c r="N66" s="28"/>
      <c r="O66" s="28"/>
      <c r="Q66" s="9" t="s">
        <v>74</v>
      </c>
      <c r="R66" s="9">
        <v>2277</v>
      </c>
    </row>
    <row r="67" spans="9:18">
      <c r="Q67" s="10" t="s">
        <v>204</v>
      </c>
      <c r="R67" s="10">
        <v>2265</v>
      </c>
    </row>
    <row r="68" spans="9:18">
      <c r="Q68" s="10" t="s">
        <v>204</v>
      </c>
      <c r="R68" s="10">
        <v>2255</v>
      </c>
    </row>
    <row r="69" spans="9:18">
      <c r="Q69" s="9" t="s">
        <v>74</v>
      </c>
      <c r="R69" s="9">
        <v>2137</v>
      </c>
    </row>
    <row r="70" spans="9:18">
      <c r="Q70" s="10" t="s">
        <v>74</v>
      </c>
      <c r="R70" s="10">
        <v>2117</v>
      </c>
    </row>
    <row r="71" spans="9:18">
      <c r="Q71" s="9" t="s">
        <v>91</v>
      </c>
      <c r="R71" s="9">
        <v>2082</v>
      </c>
    </row>
    <row r="72" spans="9:18">
      <c r="Q72" s="9" t="s">
        <v>91</v>
      </c>
      <c r="R72" s="9">
        <v>2019</v>
      </c>
    </row>
    <row r="73" spans="9:18">
      <c r="Q73" s="9" t="s">
        <v>150</v>
      </c>
      <c r="R73" s="9">
        <v>1999</v>
      </c>
    </row>
    <row r="74" spans="9:18">
      <c r="Q74" s="9" t="s">
        <v>204</v>
      </c>
      <c r="R74" s="9">
        <v>1922</v>
      </c>
    </row>
    <row r="75" spans="9:18">
      <c r="Q75" s="9" t="s">
        <v>69</v>
      </c>
      <c r="R75" s="9">
        <v>1673</v>
      </c>
    </row>
    <row r="76" spans="9:18">
      <c r="Q76" s="10" t="s">
        <v>63</v>
      </c>
      <c r="R76" s="10">
        <v>1472</v>
      </c>
    </row>
    <row r="77" spans="9:18">
      <c r="Q77" s="9" t="s">
        <v>150</v>
      </c>
      <c r="R77" s="9">
        <v>1459</v>
      </c>
    </row>
    <row r="78" spans="9:18">
      <c r="Q78" s="10" t="s">
        <v>69</v>
      </c>
      <c r="R78" s="10">
        <v>1423</v>
      </c>
    </row>
    <row r="79" spans="9:18">
      <c r="Q79" s="9" t="s">
        <v>63</v>
      </c>
      <c r="R79" s="9">
        <v>1377</v>
      </c>
    </row>
    <row r="80" spans="9:18">
      <c r="Q80" s="10" t="s">
        <v>91</v>
      </c>
      <c r="R80" s="10">
        <v>1338</v>
      </c>
    </row>
    <row r="81" spans="2:18">
      <c r="Q81" s="10" t="s">
        <v>69</v>
      </c>
      <c r="R81" s="10">
        <v>1291</v>
      </c>
    </row>
    <row r="82" spans="2:18">
      <c r="Q82" s="9" t="s">
        <v>74</v>
      </c>
      <c r="R82" s="9">
        <v>1254</v>
      </c>
    </row>
    <row r="83" spans="2:18">
      <c r="Q83" s="10" t="s">
        <v>204</v>
      </c>
      <c r="R83" s="10">
        <v>1127</v>
      </c>
    </row>
    <row r="84" spans="2:18">
      <c r="Q84" s="9" t="s">
        <v>204</v>
      </c>
      <c r="R84" s="9">
        <v>1086</v>
      </c>
    </row>
    <row r="85" spans="2:18">
      <c r="Q85" s="9" t="s">
        <v>91</v>
      </c>
      <c r="R85" s="9">
        <v>1061</v>
      </c>
    </row>
    <row r="86" spans="2:18">
      <c r="Q86" s="9" t="s">
        <v>69</v>
      </c>
      <c r="R86" s="9">
        <v>1019</v>
      </c>
    </row>
    <row r="87" spans="2:18">
      <c r="Q87" s="9" t="s">
        <v>150</v>
      </c>
      <c r="R87" s="9">
        <v>923</v>
      </c>
    </row>
    <row r="88" spans="2:18">
      <c r="Q88" s="10" t="s">
        <v>204</v>
      </c>
      <c r="R88" s="10">
        <v>877</v>
      </c>
    </row>
    <row r="89" spans="2:18">
      <c r="Q89" s="9" t="s">
        <v>69</v>
      </c>
      <c r="R89" s="9">
        <v>867</v>
      </c>
    </row>
    <row r="90" spans="2:18">
      <c r="Q90" s="9" t="s">
        <v>150</v>
      </c>
      <c r="R90" s="9">
        <v>840</v>
      </c>
    </row>
    <row r="91" spans="2:18">
      <c r="Q91" s="9" t="s">
        <v>63</v>
      </c>
      <c r="R91" s="9">
        <v>839</v>
      </c>
    </row>
    <row r="92" spans="2:18">
      <c r="Q92" s="10" t="s">
        <v>74</v>
      </c>
      <c r="R92" s="10">
        <v>759</v>
      </c>
    </row>
    <row r="93" spans="2:18">
      <c r="Q93" s="10" t="s">
        <v>74</v>
      </c>
      <c r="R93" s="10">
        <v>713</v>
      </c>
    </row>
    <row r="94" spans="2:18">
      <c r="Q94" s="10" t="s">
        <v>69</v>
      </c>
      <c r="R94" s="10">
        <v>674</v>
      </c>
    </row>
    <row r="95" spans="2:18">
      <c r="B95" s="33" t="s">
        <v>506</v>
      </c>
      <c r="C95" s="33"/>
      <c r="D95" s="33"/>
      <c r="E95" s="33"/>
      <c r="F95" s="33"/>
      <c r="G95" s="33"/>
      <c r="H95" s="33"/>
      <c r="Q95" s="10" t="s">
        <v>69</v>
      </c>
      <c r="R95" s="10">
        <v>639</v>
      </c>
    </row>
    <row r="96" spans="2:18">
      <c r="B96" s="33"/>
      <c r="C96" s="33"/>
      <c r="D96" s="33"/>
      <c r="E96" s="33"/>
      <c r="F96" s="33"/>
      <c r="G96" s="33"/>
      <c r="H96" s="33"/>
      <c r="Q96" s="9" t="s">
        <v>69</v>
      </c>
      <c r="R96" s="9">
        <v>570</v>
      </c>
    </row>
    <row r="97" spans="2:18">
      <c r="B97" s="33"/>
      <c r="C97" s="33"/>
      <c r="D97" s="33"/>
      <c r="E97" s="33"/>
      <c r="F97" s="33"/>
      <c r="G97" s="33"/>
      <c r="H97" s="33"/>
      <c r="Q97" s="9" t="s">
        <v>150</v>
      </c>
      <c r="R97" s="9">
        <v>536</v>
      </c>
    </row>
    <row r="98" spans="2:18">
      <c r="B98" s="33"/>
      <c r="C98" s="33"/>
      <c r="D98" s="33"/>
      <c r="E98" s="33"/>
      <c r="F98" s="33"/>
      <c r="G98" s="33"/>
      <c r="H98" s="33"/>
      <c r="Q98" s="10" t="s">
        <v>125</v>
      </c>
      <c r="R98" s="10">
        <v>491</v>
      </c>
    </row>
    <row r="99" spans="2:18">
      <c r="B99" s="33"/>
      <c r="C99" s="33"/>
      <c r="D99" s="33"/>
      <c r="E99" s="33"/>
      <c r="F99" s="33"/>
      <c r="G99" s="33"/>
      <c r="H99" s="33"/>
      <c r="Q99" s="10" t="s">
        <v>130</v>
      </c>
      <c r="R99" s="10">
        <v>485</v>
      </c>
    </row>
    <row r="100" spans="2:18">
      <c r="B100" s="33"/>
      <c r="C100" s="33"/>
      <c r="D100" s="33"/>
      <c r="E100" s="33"/>
      <c r="F100" s="33"/>
      <c r="G100" s="33"/>
      <c r="H100" s="33"/>
      <c r="Q100" s="9" t="s">
        <v>150</v>
      </c>
      <c r="R100" s="9">
        <v>470</v>
      </c>
    </row>
    <row r="101" spans="2:18">
      <c r="B101" s="33"/>
      <c r="C101" s="33"/>
      <c r="D101" s="33"/>
      <c r="E101" s="33"/>
      <c r="F101" s="33"/>
      <c r="G101" s="33"/>
      <c r="H101" s="33"/>
      <c r="Q101" s="10" t="s">
        <v>69</v>
      </c>
      <c r="R101" s="10">
        <v>463</v>
      </c>
    </row>
    <row r="102" spans="2:18">
      <c r="B102" s="33"/>
      <c r="C102" s="33"/>
      <c r="D102" s="33"/>
      <c r="E102" s="33"/>
      <c r="F102" s="33"/>
      <c r="G102" s="33"/>
      <c r="H102" s="33"/>
      <c r="Q102" s="10" t="s">
        <v>101</v>
      </c>
      <c r="R102" s="10">
        <v>460</v>
      </c>
    </row>
    <row r="103" spans="2:18">
      <c r="B103" s="33"/>
      <c r="C103" s="33"/>
      <c r="D103" s="33"/>
      <c r="E103" s="33"/>
      <c r="F103" s="33"/>
      <c r="G103" s="33"/>
      <c r="H103" s="33"/>
      <c r="Q103" s="10" t="s">
        <v>79</v>
      </c>
      <c r="R103" s="10">
        <v>452</v>
      </c>
    </row>
    <row r="104" spans="2:18">
      <c r="B104" s="33"/>
      <c r="C104" s="33"/>
      <c r="D104" s="33"/>
      <c r="E104" s="33"/>
      <c r="F104" s="33"/>
      <c r="G104" s="33"/>
      <c r="H104" s="33"/>
      <c r="Q104" s="9" t="s">
        <v>79</v>
      </c>
      <c r="R104" s="9">
        <v>450</v>
      </c>
    </row>
    <row r="105" spans="2:18">
      <c r="B105" s="33"/>
      <c r="C105" s="33"/>
      <c r="D105" s="33"/>
      <c r="E105" s="33"/>
      <c r="F105" s="33"/>
      <c r="G105" s="33"/>
      <c r="H105" s="33"/>
      <c r="Q105" s="9" t="s">
        <v>56</v>
      </c>
      <c r="R105" s="9">
        <v>444</v>
      </c>
    </row>
    <row r="106" spans="2:18">
      <c r="B106" s="33"/>
      <c r="C106" s="33"/>
      <c r="D106" s="33"/>
      <c r="E106" s="33"/>
      <c r="F106" s="33"/>
      <c r="G106" s="33"/>
      <c r="H106" s="33"/>
      <c r="Q106" s="10" t="s">
        <v>91</v>
      </c>
      <c r="R106" s="10">
        <v>441</v>
      </c>
    </row>
    <row r="107" spans="2:18">
      <c r="B107" s="33"/>
      <c r="C107" s="33"/>
      <c r="D107" s="33"/>
      <c r="E107" s="33"/>
      <c r="F107" s="33"/>
      <c r="G107" s="33"/>
      <c r="H107" s="33"/>
      <c r="Q107" s="9" t="s">
        <v>79</v>
      </c>
      <c r="R107" s="9">
        <v>433</v>
      </c>
    </row>
    <row r="108" spans="2:18">
      <c r="B108" s="33"/>
      <c r="C108" s="33"/>
      <c r="D108" s="33"/>
      <c r="E108" s="33"/>
      <c r="F108" s="33"/>
      <c r="G108" s="33"/>
      <c r="H108" s="33"/>
      <c r="Q108" s="10" t="s">
        <v>101</v>
      </c>
      <c r="R108" s="10">
        <v>419</v>
      </c>
    </row>
    <row r="109" spans="2:18">
      <c r="Q109" s="9" t="s">
        <v>130</v>
      </c>
      <c r="R109" s="9">
        <v>410</v>
      </c>
    </row>
    <row r="110" spans="2:18">
      <c r="Q110" s="10" t="s">
        <v>101</v>
      </c>
      <c r="R110" s="10">
        <v>406</v>
      </c>
    </row>
    <row r="111" spans="2:18">
      <c r="Q111" s="10" t="s">
        <v>130</v>
      </c>
      <c r="R111" s="10">
        <v>401</v>
      </c>
    </row>
    <row r="112" spans="2:18">
      <c r="Q112" s="10" t="s">
        <v>125</v>
      </c>
      <c r="R112" s="10">
        <v>401</v>
      </c>
    </row>
    <row r="113" spans="8:18">
      <c r="Q113" s="9" t="s">
        <v>56</v>
      </c>
      <c r="R113" s="9">
        <v>393</v>
      </c>
    </row>
    <row r="114" spans="8:18">
      <c r="Q114" s="10" t="s">
        <v>105</v>
      </c>
      <c r="R114" s="10">
        <v>386</v>
      </c>
    </row>
    <row r="115" spans="8:18">
      <c r="Q115" s="9" t="s">
        <v>105</v>
      </c>
      <c r="R115" s="9">
        <v>379</v>
      </c>
    </row>
    <row r="116" spans="8:18">
      <c r="Q116" s="10" t="s">
        <v>130</v>
      </c>
      <c r="R116" s="10">
        <v>378</v>
      </c>
    </row>
    <row r="117" spans="8:18">
      <c r="Q117" s="9" t="s">
        <v>56</v>
      </c>
      <c r="R117" s="9">
        <v>377</v>
      </c>
    </row>
    <row r="118" spans="8:18">
      <c r="Q118" s="10" t="s">
        <v>125</v>
      </c>
      <c r="R118" s="10">
        <v>368</v>
      </c>
    </row>
    <row r="119" spans="8:18">
      <c r="Q119" s="9" t="s">
        <v>85</v>
      </c>
      <c r="R119" s="9">
        <v>365</v>
      </c>
    </row>
    <row r="120" spans="8:18">
      <c r="Q120" s="9" t="s">
        <v>114</v>
      </c>
      <c r="R120" s="9">
        <v>356</v>
      </c>
    </row>
    <row r="121" spans="8:18">
      <c r="Q121" s="10" t="s">
        <v>79</v>
      </c>
      <c r="R121" s="10">
        <v>348</v>
      </c>
    </row>
    <row r="122" spans="8:18">
      <c r="Q122" s="10" t="s">
        <v>97</v>
      </c>
      <c r="R122" s="10">
        <v>330</v>
      </c>
    </row>
    <row r="123" spans="8:18">
      <c r="Q123" s="10" t="s">
        <v>118</v>
      </c>
      <c r="R123" s="10">
        <v>319</v>
      </c>
    </row>
    <row r="124" spans="8:18">
      <c r="H124" s="19" t="s">
        <v>2</v>
      </c>
      <c r="I124" s="18" t="s">
        <v>492</v>
      </c>
      <c r="Q124" s="10" t="s">
        <v>130</v>
      </c>
      <c r="R124" s="10">
        <v>319</v>
      </c>
    </row>
    <row r="125" spans="8:18">
      <c r="H125" s="1" t="s">
        <v>12</v>
      </c>
      <c r="I125" s="20">
        <f>COUNTIF(Table1[Category],"Ration")</f>
        <v>64</v>
      </c>
      <c r="Q125" s="9" t="s">
        <v>85</v>
      </c>
      <c r="R125" s="9">
        <v>314</v>
      </c>
    </row>
    <row r="126" spans="8:18" ht="28.8">
      <c r="H126" s="1" t="s">
        <v>13</v>
      </c>
      <c r="I126" s="20">
        <f>COUNTIF(Table1[Category],"Ammunition")</f>
        <v>72</v>
      </c>
      <c r="Q126" s="9" t="s">
        <v>105</v>
      </c>
      <c r="R126" s="9">
        <v>310</v>
      </c>
    </row>
    <row r="127" spans="8:18" ht="28.8">
      <c r="H127" s="1" t="s">
        <v>14</v>
      </c>
      <c r="I127" s="20">
        <f>COUNTIF(Table1[Category],"Equipment")</f>
        <v>64</v>
      </c>
      <c r="Q127" s="10" t="s">
        <v>118</v>
      </c>
      <c r="R127" s="10">
        <v>292</v>
      </c>
    </row>
    <row r="128" spans="8:18">
      <c r="Q128" s="9" t="s">
        <v>85</v>
      </c>
      <c r="R128" s="9">
        <v>292</v>
      </c>
    </row>
    <row r="129" spans="17:18">
      <c r="Q129" s="10" t="s">
        <v>79</v>
      </c>
      <c r="R129" s="10">
        <v>289</v>
      </c>
    </row>
    <row r="130" spans="17:18">
      <c r="Q130" s="10" t="s">
        <v>114</v>
      </c>
      <c r="R130" s="10">
        <v>266</v>
      </c>
    </row>
    <row r="131" spans="17:18">
      <c r="Q131" s="10" t="s">
        <v>125</v>
      </c>
      <c r="R131" s="10">
        <v>263</v>
      </c>
    </row>
    <row r="132" spans="17:18">
      <c r="Q132" s="10" t="s">
        <v>85</v>
      </c>
      <c r="R132" s="10">
        <v>263</v>
      </c>
    </row>
    <row r="133" spans="17:18">
      <c r="Q133" s="9" t="s">
        <v>69</v>
      </c>
      <c r="R133" s="9">
        <v>260</v>
      </c>
    </row>
    <row r="134" spans="17:18">
      <c r="Q134" s="10" t="s">
        <v>79</v>
      </c>
      <c r="R134" s="10">
        <v>248</v>
      </c>
    </row>
    <row r="135" spans="17:18">
      <c r="Q135" s="10" t="s">
        <v>56</v>
      </c>
      <c r="R135" s="10">
        <v>240</v>
      </c>
    </row>
    <row r="136" spans="17:18">
      <c r="Q136" s="10" t="s">
        <v>125</v>
      </c>
      <c r="R136" s="10">
        <v>236</v>
      </c>
    </row>
    <row r="137" spans="17:18">
      <c r="Q137" s="10" t="s">
        <v>85</v>
      </c>
      <c r="R137" s="10">
        <v>214</v>
      </c>
    </row>
    <row r="138" spans="17:18">
      <c r="Q138" s="10" t="s">
        <v>97</v>
      </c>
      <c r="R138" s="10">
        <v>203</v>
      </c>
    </row>
    <row r="139" spans="17:18">
      <c r="Q139" s="9" t="s">
        <v>85</v>
      </c>
      <c r="R139" s="9">
        <v>197</v>
      </c>
    </row>
    <row r="140" spans="17:18">
      <c r="Q140" s="9" t="s">
        <v>97</v>
      </c>
      <c r="R140" s="9">
        <v>197</v>
      </c>
    </row>
    <row r="141" spans="17:18">
      <c r="Q141" s="10" t="s">
        <v>118</v>
      </c>
      <c r="R141" s="10">
        <v>196</v>
      </c>
    </row>
    <row r="142" spans="17:18">
      <c r="Q142" s="9" t="s">
        <v>50</v>
      </c>
      <c r="R142" s="9">
        <v>196</v>
      </c>
    </row>
    <row r="143" spans="17:18">
      <c r="Q143" s="9" t="s">
        <v>114</v>
      </c>
      <c r="R143" s="9">
        <v>195</v>
      </c>
    </row>
    <row r="144" spans="17:18">
      <c r="Q144" s="10" t="s">
        <v>50</v>
      </c>
      <c r="R144" s="10">
        <v>194</v>
      </c>
    </row>
    <row r="145" spans="17:18">
      <c r="Q145" s="9" t="s">
        <v>248</v>
      </c>
      <c r="R145" s="9">
        <v>194</v>
      </c>
    </row>
    <row r="146" spans="17:18">
      <c r="Q146" s="9" t="s">
        <v>60</v>
      </c>
      <c r="R146" s="9">
        <v>192</v>
      </c>
    </row>
    <row r="147" spans="17:18">
      <c r="Q147" s="10" t="s">
        <v>53</v>
      </c>
      <c r="R147" s="10">
        <v>185</v>
      </c>
    </row>
    <row r="148" spans="17:18">
      <c r="Q148" s="9" t="s">
        <v>97</v>
      </c>
      <c r="R148" s="9">
        <v>183</v>
      </c>
    </row>
    <row r="149" spans="17:18">
      <c r="Q149" s="10" t="s">
        <v>50</v>
      </c>
      <c r="R149" s="10">
        <v>178</v>
      </c>
    </row>
    <row r="150" spans="17:18">
      <c r="Q150" s="10" t="s">
        <v>215</v>
      </c>
      <c r="R150" s="10">
        <v>178</v>
      </c>
    </row>
    <row r="151" spans="17:18">
      <c r="Q151" s="9" t="s">
        <v>215</v>
      </c>
      <c r="R151" s="9">
        <v>178</v>
      </c>
    </row>
    <row r="152" spans="17:18">
      <c r="Q152" s="9" t="s">
        <v>139</v>
      </c>
      <c r="R152" s="9">
        <v>176</v>
      </c>
    </row>
    <row r="153" spans="17:18">
      <c r="Q153" s="10" t="s">
        <v>97</v>
      </c>
      <c r="R153" s="10">
        <v>173</v>
      </c>
    </row>
    <row r="154" spans="17:18">
      <c r="Q154" s="9" t="s">
        <v>164</v>
      </c>
      <c r="R154" s="9">
        <v>171</v>
      </c>
    </row>
    <row r="155" spans="17:18">
      <c r="Q155" s="10" t="s">
        <v>153</v>
      </c>
      <c r="R155" s="10">
        <v>169</v>
      </c>
    </row>
    <row r="156" spans="17:18">
      <c r="Q156" s="9" t="s">
        <v>248</v>
      </c>
      <c r="R156" s="9">
        <v>167</v>
      </c>
    </row>
    <row r="157" spans="17:18">
      <c r="Q157" s="9" t="s">
        <v>50</v>
      </c>
      <c r="R157" s="9">
        <v>164</v>
      </c>
    </row>
    <row r="158" spans="17:18">
      <c r="Q158" s="9" t="s">
        <v>94</v>
      </c>
      <c r="R158" s="9">
        <v>164</v>
      </c>
    </row>
    <row r="159" spans="17:18">
      <c r="Q159" s="10" t="s">
        <v>94</v>
      </c>
      <c r="R159" s="10">
        <v>159</v>
      </c>
    </row>
    <row r="160" spans="17:18">
      <c r="Q160" s="10" t="s">
        <v>50</v>
      </c>
      <c r="R160" s="10">
        <v>154</v>
      </c>
    </row>
    <row r="161" spans="17:18">
      <c r="Q161" s="9" t="s">
        <v>94</v>
      </c>
      <c r="R161" s="9">
        <v>153</v>
      </c>
    </row>
    <row r="162" spans="17:18">
      <c r="Q162" s="10" t="s">
        <v>60</v>
      </c>
      <c r="R162" s="10">
        <v>151</v>
      </c>
    </row>
    <row r="163" spans="17:18">
      <c r="Q163" s="10" t="s">
        <v>101</v>
      </c>
      <c r="R163" s="10">
        <v>144</v>
      </c>
    </row>
    <row r="164" spans="17:18">
      <c r="Q164" s="9" t="s">
        <v>85</v>
      </c>
      <c r="R164" s="9">
        <v>142</v>
      </c>
    </row>
    <row r="165" spans="17:18">
      <c r="Q165" s="10" t="s">
        <v>85</v>
      </c>
      <c r="R165" s="10">
        <v>141</v>
      </c>
    </row>
    <row r="166" spans="17:18">
      <c r="Q166" s="10" t="s">
        <v>130</v>
      </c>
      <c r="R166" s="10">
        <v>138</v>
      </c>
    </row>
    <row r="167" spans="17:18">
      <c r="Q167" s="10" t="s">
        <v>60</v>
      </c>
      <c r="R167" s="10">
        <v>136</v>
      </c>
    </row>
    <row r="168" spans="17:18">
      <c r="Q168" s="10" t="s">
        <v>94</v>
      </c>
      <c r="R168" s="10">
        <v>135</v>
      </c>
    </row>
    <row r="169" spans="17:18">
      <c r="Q169" s="9" t="s">
        <v>94</v>
      </c>
      <c r="R169" s="9">
        <v>134</v>
      </c>
    </row>
    <row r="170" spans="17:18">
      <c r="Q170" s="10" t="s">
        <v>153</v>
      </c>
      <c r="R170" s="10">
        <v>132</v>
      </c>
    </row>
    <row r="171" spans="17:18">
      <c r="Q171" s="9" t="s">
        <v>56</v>
      </c>
      <c r="R171" s="9">
        <v>130</v>
      </c>
    </row>
    <row r="172" spans="17:18">
      <c r="Q172" s="9" t="s">
        <v>248</v>
      </c>
      <c r="R172" s="9">
        <v>127</v>
      </c>
    </row>
    <row r="173" spans="17:18">
      <c r="Q173" s="10" t="s">
        <v>60</v>
      </c>
      <c r="R173" s="10">
        <v>126</v>
      </c>
    </row>
    <row r="174" spans="17:18">
      <c r="Q174" s="10" t="s">
        <v>94</v>
      </c>
      <c r="R174" s="10">
        <v>125</v>
      </c>
    </row>
    <row r="175" spans="17:18">
      <c r="Q175" s="10" t="s">
        <v>139</v>
      </c>
      <c r="R175" s="10">
        <v>125</v>
      </c>
    </row>
    <row r="176" spans="17:18">
      <c r="Q176" s="9" t="s">
        <v>118</v>
      </c>
      <c r="R176" s="9">
        <v>123</v>
      </c>
    </row>
    <row r="177" spans="17:18">
      <c r="Q177" s="10" t="s">
        <v>215</v>
      </c>
      <c r="R177" s="10">
        <v>122</v>
      </c>
    </row>
    <row r="178" spans="17:18">
      <c r="Q178" s="10" t="s">
        <v>130</v>
      </c>
      <c r="R178" s="10">
        <v>122</v>
      </c>
    </row>
    <row r="179" spans="17:18">
      <c r="Q179" s="9" t="s">
        <v>204</v>
      </c>
      <c r="R179" s="9">
        <v>122</v>
      </c>
    </row>
    <row r="180" spans="17:18">
      <c r="Q180" s="10" t="s">
        <v>53</v>
      </c>
      <c r="R180" s="10">
        <v>121</v>
      </c>
    </row>
    <row r="181" spans="17:18">
      <c r="Q181" s="10" t="s">
        <v>105</v>
      </c>
      <c r="R181" s="10">
        <v>111</v>
      </c>
    </row>
    <row r="182" spans="17:18">
      <c r="Q182" s="9" t="s">
        <v>139</v>
      </c>
      <c r="R182" s="9">
        <v>110</v>
      </c>
    </row>
    <row r="183" spans="17:18">
      <c r="Q183" s="9" t="s">
        <v>125</v>
      </c>
      <c r="R183" s="9">
        <v>107</v>
      </c>
    </row>
    <row r="184" spans="17:18">
      <c r="Q184" s="9" t="s">
        <v>215</v>
      </c>
      <c r="R184" s="9">
        <v>107</v>
      </c>
    </row>
    <row r="185" spans="17:18">
      <c r="Q185" s="10" t="s">
        <v>56</v>
      </c>
      <c r="R185" s="10">
        <v>104</v>
      </c>
    </row>
    <row r="186" spans="17:18">
      <c r="Q186" s="9" t="s">
        <v>94</v>
      </c>
      <c r="R186" s="9">
        <v>104</v>
      </c>
    </row>
    <row r="187" spans="17:18">
      <c r="Q187" s="10" t="s">
        <v>139</v>
      </c>
      <c r="R187" s="10">
        <v>99</v>
      </c>
    </row>
    <row r="188" spans="17:18">
      <c r="Q188" s="9" t="s">
        <v>248</v>
      </c>
      <c r="R188" s="9">
        <v>98</v>
      </c>
    </row>
    <row r="189" spans="17:18">
      <c r="Q189" s="9" t="s">
        <v>85</v>
      </c>
      <c r="R189" s="9">
        <v>97</v>
      </c>
    </row>
    <row r="190" spans="17:18">
      <c r="Q190" s="10" t="s">
        <v>53</v>
      </c>
      <c r="R190" s="10">
        <v>92</v>
      </c>
    </row>
    <row r="191" spans="17:18">
      <c r="Q191" s="9" t="s">
        <v>66</v>
      </c>
      <c r="R191" s="9">
        <v>92</v>
      </c>
    </row>
    <row r="192" spans="17:18">
      <c r="Q192" s="9" t="s">
        <v>130</v>
      </c>
      <c r="R192" s="9">
        <v>91</v>
      </c>
    </row>
    <row r="193" spans="17:18">
      <c r="Q193" s="9" t="s">
        <v>56</v>
      </c>
      <c r="R193" s="9">
        <v>89</v>
      </c>
    </row>
    <row r="194" spans="17:18">
      <c r="Q194" s="9" t="s">
        <v>153</v>
      </c>
      <c r="R194" s="9">
        <v>87</v>
      </c>
    </row>
    <row r="195" spans="17:18">
      <c r="Q195" s="9" t="s">
        <v>94</v>
      </c>
      <c r="R195" s="9">
        <v>85</v>
      </c>
    </row>
    <row r="196" spans="17:18">
      <c r="Q196" s="10" t="s">
        <v>153</v>
      </c>
      <c r="R196" s="10">
        <v>85</v>
      </c>
    </row>
    <row r="197" spans="17:18">
      <c r="Q197" s="9" t="s">
        <v>114</v>
      </c>
      <c r="R197" s="9">
        <v>82</v>
      </c>
    </row>
    <row r="198" spans="17:18">
      <c r="Q198" s="9" t="s">
        <v>50</v>
      </c>
      <c r="R198" s="9">
        <v>78</v>
      </c>
    </row>
    <row r="199" spans="17:18">
      <c r="Q199" s="10" t="s">
        <v>50</v>
      </c>
      <c r="R199" s="10">
        <v>78</v>
      </c>
    </row>
    <row r="200" spans="17:18">
      <c r="Q200" s="10" t="s">
        <v>153</v>
      </c>
      <c r="R200" s="10">
        <v>71</v>
      </c>
    </row>
    <row r="201" spans="17:18">
      <c r="Q201" s="10" t="s">
        <v>66</v>
      </c>
      <c r="R201" s="10">
        <v>69</v>
      </c>
    </row>
    <row r="202" spans="17:18">
      <c r="Q202" s="9" t="s">
        <v>94</v>
      </c>
      <c r="R202" s="9">
        <v>69</v>
      </c>
    </row>
    <row r="203" spans="17:18">
      <c r="Q203" s="9" t="s">
        <v>125</v>
      </c>
      <c r="R203" s="9">
        <v>69</v>
      </c>
    </row>
    <row r="204" spans="17:18">
      <c r="Q204" s="10" t="s">
        <v>125</v>
      </c>
      <c r="R204" s="10">
        <v>63</v>
      </c>
    </row>
    <row r="205" spans="17:18">
      <c r="Q205" s="10" t="s">
        <v>153</v>
      </c>
      <c r="R205" s="10">
        <v>63</v>
      </c>
    </row>
    <row r="206" spans="17:18">
      <c r="Q206" s="10" t="s">
        <v>101</v>
      </c>
      <c r="R206" s="10">
        <v>60</v>
      </c>
    </row>
    <row r="207" spans="17:18">
      <c r="Q207" s="9" t="s">
        <v>153</v>
      </c>
      <c r="R207" s="9">
        <v>57</v>
      </c>
    </row>
    <row r="208" spans="17:18">
      <c r="Q208" s="10" t="s">
        <v>105</v>
      </c>
      <c r="R208" s="10">
        <v>53</v>
      </c>
    </row>
    <row r="209" spans="17:18">
      <c r="Q209" s="9" t="s">
        <v>66</v>
      </c>
      <c r="R209" s="9">
        <v>52</v>
      </c>
    </row>
    <row r="210" spans="17:18">
      <c r="Q210" s="9" t="s">
        <v>215</v>
      </c>
      <c r="R210" s="9">
        <v>52</v>
      </c>
    </row>
    <row r="211" spans="17:18">
      <c r="Q211" s="10" t="s">
        <v>53</v>
      </c>
      <c r="R211" s="10">
        <v>46</v>
      </c>
    </row>
    <row r="212" spans="17:18">
      <c r="Q212" s="10" t="s">
        <v>130</v>
      </c>
      <c r="R212" s="10">
        <v>43</v>
      </c>
    </row>
    <row r="213" spans="17:18">
      <c r="Q213" s="9" t="s">
        <v>53</v>
      </c>
      <c r="R213" s="9">
        <v>43</v>
      </c>
    </row>
    <row r="214" spans="17:18">
      <c r="Q214" s="10" t="s">
        <v>94</v>
      </c>
      <c r="R214" s="10">
        <v>41</v>
      </c>
    </row>
    <row r="215" spans="17:18">
      <c r="Q215" s="9" t="s">
        <v>97</v>
      </c>
      <c r="R215" s="9">
        <v>39</v>
      </c>
    </row>
    <row r="216" spans="17:18">
      <c r="Q216" s="10" t="s">
        <v>164</v>
      </c>
      <c r="R216" s="10">
        <v>38</v>
      </c>
    </row>
    <row r="217" spans="17:18">
      <c r="Q217" s="9" t="s">
        <v>60</v>
      </c>
      <c r="R217" s="9">
        <v>38</v>
      </c>
    </row>
    <row r="218" spans="17:18">
      <c r="Q218" s="9" t="s">
        <v>50</v>
      </c>
      <c r="R218" s="9">
        <v>36</v>
      </c>
    </row>
    <row r="219" spans="17:18">
      <c r="Q219" s="9" t="s">
        <v>66</v>
      </c>
      <c r="R219" s="9">
        <v>33</v>
      </c>
    </row>
    <row r="220" spans="17:18">
      <c r="Q220" s="10" t="s">
        <v>164</v>
      </c>
      <c r="R220" s="10">
        <v>29</v>
      </c>
    </row>
    <row r="221" spans="17:18">
      <c r="Q221" s="9" t="s">
        <v>153</v>
      </c>
      <c r="R221" s="9">
        <v>28</v>
      </c>
    </row>
    <row r="222" spans="17:18">
      <c r="Q222" s="10" t="s">
        <v>118</v>
      </c>
      <c r="R222" s="10">
        <v>26</v>
      </c>
    </row>
    <row r="223" spans="17:18">
      <c r="Q223" s="10" t="s">
        <v>53</v>
      </c>
      <c r="R223" s="10">
        <v>17</v>
      </c>
    </row>
    <row r="224" spans="17:18">
      <c r="Q224" s="10" t="s">
        <v>53</v>
      </c>
      <c r="R224" s="10">
        <v>16</v>
      </c>
    </row>
    <row r="225" spans="17:18">
      <c r="Q225" s="9" t="s">
        <v>53</v>
      </c>
      <c r="R225" s="9">
        <v>16</v>
      </c>
    </row>
    <row r="226" spans="17:18">
      <c r="Q226" s="10" t="s">
        <v>139</v>
      </c>
      <c r="R226" s="10">
        <v>16</v>
      </c>
    </row>
    <row r="227" spans="17:18">
      <c r="Q227" s="10" t="s">
        <v>248</v>
      </c>
      <c r="R227" s="10">
        <v>15</v>
      </c>
    </row>
    <row r="228" spans="17:18">
      <c r="Q228" s="9" t="s">
        <v>139</v>
      </c>
      <c r="R228" s="9">
        <v>12</v>
      </c>
    </row>
    <row r="229" spans="17:18">
      <c r="Q229" s="9" t="s">
        <v>50</v>
      </c>
      <c r="R229" s="9">
        <v>6</v>
      </c>
    </row>
    <row r="230" spans="17:18">
      <c r="Q230" s="10" t="s">
        <v>53</v>
      </c>
      <c r="R230" s="10">
        <v>5</v>
      </c>
    </row>
  </sheetData>
  <sortState xmlns:xlrd2="http://schemas.microsoft.com/office/spreadsheetml/2017/richdata2" ref="Q31:R230">
    <sortCondition descending="1" ref="R31:R230"/>
  </sortState>
  <mergeCells count="12">
    <mergeCell ref="A1:O2"/>
    <mergeCell ref="A5:C6"/>
    <mergeCell ref="I53:O66"/>
    <mergeCell ref="Q7:R8"/>
    <mergeCell ref="Q10:R11"/>
    <mergeCell ref="Q13:R14"/>
    <mergeCell ref="Q16:R17"/>
    <mergeCell ref="A18:G31"/>
    <mergeCell ref="I18:O31"/>
    <mergeCell ref="B95:H108"/>
    <mergeCell ref="A35:G35"/>
    <mergeCell ref="A36:G51"/>
  </mergeCells>
  <phoneticPr fontId="6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>
                  <from>
                    <xdr:col>16</xdr:col>
                    <xdr:colOff>121920</xdr:colOff>
                    <xdr:row>7</xdr:row>
                    <xdr:rowOff>22860</xdr:rowOff>
                  </from>
                  <to>
                    <xdr:col>17</xdr:col>
                    <xdr:colOff>525780</xdr:colOff>
                    <xdr:row>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Button2_Click">
                <anchor moveWithCells="1">
                  <from>
                    <xdr:col>16</xdr:col>
                    <xdr:colOff>114300</xdr:colOff>
                    <xdr:row>10</xdr:row>
                    <xdr:rowOff>312420</xdr:rowOff>
                  </from>
                  <to>
                    <xdr:col>17</xdr:col>
                    <xdr:colOff>533400</xdr:colOff>
                    <xdr:row>10</xdr:row>
                    <xdr:rowOff>441960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Button3_Click">
                <anchor moveWithCells="1">
                  <from>
                    <xdr:col>16</xdr:col>
                    <xdr:colOff>167640</xdr:colOff>
                    <xdr:row>13</xdr:row>
                    <xdr:rowOff>121920</xdr:rowOff>
                  </from>
                  <to>
                    <xdr:col>17</xdr:col>
                    <xdr:colOff>457200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Button4_Click">
                <anchor moveWithCells="1">
                  <from>
                    <xdr:col>16</xdr:col>
                    <xdr:colOff>99060</xdr:colOff>
                    <xdr:row>16</xdr:row>
                    <xdr:rowOff>91440</xdr:rowOff>
                  </from>
                  <to>
                    <xdr:col>17</xdr:col>
                    <xdr:colOff>525780</xdr:colOff>
                    <xdr:row>17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Button5_Click">
                <anchor moveWithCells="1">
                  <from>
                    <xdr:col>16</xdr:col>
                    <xdr:colOff>106680</xdr:colOff>
                    <xdr:row>1</xdr:row>
                    <xdr:rowOff>129540</xdr:rowOff>
                  </from>
                  <to>
                    <xdr:col>17</xdr:col>
                    <xdr:colOff>472440</xdr:colOff>
                    <xdr:row>5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FE9DF2-C4B8-4D34-8C8B-6E31614806DB}">
  <sheetPr codeName="Sheet3">
    <tabColor theme="9"/>
  </sheetPr>
  <dimension ref="A1:K201"/>
  <sheetViews>
    <sheetView workbookViewId="0">
      <pane ySplit="1" topLeftCell="A2" activePane="bottomLeft" state="frozen"/>
      <selection pane="bottomLeft" activeCell="H12" sqref="H12"/>
    </sheetView>
  </sheetViews>
  <sheetFormatPr defaultRowHeight="14.4"/>
  <cols>
    <col min="1" max="1" width="12.77734375" customWidth="1"/>
    <col min="2" max="2" width="25.77734375" customWidth="1"/>
    <col min="3" max="3" width="18.77734375" customWidth="1"/>
    <col min="4" max="5" width="12.77734375" customWidth="1"/>
    <col min="6" max="7" width="16.77734375" customWidth="1"/>
    <col min="8" max="8" width="25.77734375" customWidth="1"/>
    <col min="9" max="9" width="22.77734375" customWidth="1"/>
    <col min="10" max="10" width="18.77734375" customWidth="1"/>
    <col min="11" max="11" width="30.77734375" customWidth="1"/>
  </cols>
  <sheetData>
    <row r="1" spans="1:11">
      <c r="A1" s="2" t="s">
        <v>0</v>
      </c>
      <c r="B1" s="2" t="s">
        <v>1</v>
      </c>
      <c r="C1" s="2" t="s">
        <v>2</v>
      </c>
      <c r="D1" s="3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</row>
    <row r="2" spans="1:11">
      <c r="A2" t="s">
        <v>49</v>
      </c>
      <c r="B2" t="s">
        <v>50</v>
      </c>
      <c r="C2" t="s">
        <v>14</v>
      </c>
      <c r="D2">
        <v>78</v>
      </c>
      <c r="E2" t="s">
        <v>20</v>
      </c>
      <c r="F2" t="s">
        <v>51</v>
      </c>
      <c r="H2" t="s">
        <v>26</v>
      </c>
      <c r="I2" t="s">
        <v>36</v>
      </c>
      <c r="J2" t="s">
        <v>37</v>
      </c>
    </row>
    <row r="3" spans="1:11">
      <c r="A3" t="s">
        <v>52</v>
      </c>
      <c r="B3" t="s">
        <v>53</v>
      </c>
      <c r="C3" t="s">
        <v>14</v>
      </c>
      <c r="D3">
        <v>46</v>
      </c>
      <c r="E3" t="s">
        <v>20</v>
      </c>
      <c r="F3" t="s">
        <v>54</v>
      </c>
      <c r="H3" t="s">
        <v>27</v>
      </c>
      <c r="I3" t="s">
        <v>36</v>
      </c>
      <c r="J3" t="s">
        <v>38</v>
      </c>
    </row>
    <row r="4" spans="1:11">
      <c r="A4" t="s">
        <v>55</v>
      </c>
      <c r="B4" t="s">
        <v>56</v>
      </c>
      <c r="C4" t="s">
        <v>12</v>
      </c>
      <c r="D4">
        <v>89</v>
      </c>
      <c r="E4" t="s">
        <v>16</v>
      </c>
      <c r="F4" t="s">
        <v>57</v>
      </c>
      <c r="G4" t="s">
        <v>58</v>
      </c>
      <c r="H4" t="s">
        <v>28</v>
      </c>
      <c r="I4" t="s">
        <v>36</v>
      </c>
      <c r="J4" t="s">
        <v>37</v>
      </c>
    </row>
    <row r="5" spans="1:11">
      <c r="A5" t="s">
        <v>59</v>
      </c>
      <c r="B5" t="s">
        <v>60</v>
      </c>
      <c r="C5" t="s">
        <v>14</v>
      </c>
      <c r="D5">
        <v>136</v>
      </c>
      <c r="E5" t="s">
        <v>20</v>
      </c>
      <c r="F5" t="s">
        <v>61</v>
      </c>
      <c r="H5" t="s">
        <v>28</v>
      </c>
      <c r="I5" t="s">
        <v>33</v>
      </c>
      <c r="J5" t="s">
        <v>37</v>
      </c>
    </row>
    <row r="6" spans="1:11">
      <c r="A6" t="s">
        <v>62</v>
      </c>
      <c r="B6" t="s">
        <v>63</v>
      </c>
      <c r="C6" t="s">
        <v>13</v>
      </c>
      <c r="D6">
        <v>3052</v>
      </c>
      <c r="E6" t="s">
        <v>21</v>
      </c>
      <c r="F6" t="s">
        <v>64</v>
      </c>
      <c r="H6" t="s">
        <v>29</v>
      </c>
      <c r="I6" t="s">
        <v>32</v>
      </c>
      <c r="J6" t="s">
        <v>37</v>
      </c>
    </row>
    <row r="7" spans="1:11">
      <c r="A7" t="s">
        <v>65</v>
      </c>
      <c r="B7" t="s">
        <v>66</v>
      </c>
      <c r="C7" t="s">
        <v>14</v>
      </c>
      <c r="D7">
        <v>69</v>
      </c>
      <c r="E7" t="s">
        <v>20</v>
      </c>
      <c r="F7" t="s">
        <v>67</v>
      </c>
      <c r="H7" t="s">
        <v>27</v>
      </c>
      <c r="I7" t="s">
        <v>34</v>
      </c>
      <c r="J7" t="s">
        <v>37</v>
      </c>
    </row>
    <row r="8" spans="1:11">
      <c r="A8" t="s">
        <v>68</v>
      </c>
      <c r="B8" t="s">
        <v>69</v>
      </c>
      <c r="C8" t="s">
        <v>13</v>
      </c>
      <c r="D8">
        <v>2379</v>
      </c>
      <c r="E8" t="s">
        <v>21</v>
      </c>
      <c r="F8" t="s">
        <v>70</v>
      </c>
      <c r="H8" t="s">
        <v>30</v>
      </c>
      <c r="I8" t="s">
        <v>34</v>
      </c>
      <c r="J8" t="s">
        <v>37</v>
      </c>
    </row>
    <row r="9" spans="1:11">
      <c r="A9" t="s">
        <v>71</v>
      </c>
      <c r="B9" t="s">
        <v>63</v>
      </c>
      <c r="C9" t="s">
        <v>13</v>
      </c>
      <c r="D9">
        <v>1472</v>
      </c>
      <c r="E9" t="s">
        <v>21</v>
      </c>
      <c r="F9" t="s">
        <v>72</v>
      </c>
      <c r="H9" t="s">
        <v>27</v>
      </c>
      <c r="I9" t="s">
        <v>32</v>
      </c>
      <c r="J9" t="s">
        <v>37</v>
      </c>
    </row>
    <row r="10" spans="1:11">
      <c r="A10" t="s">
        <v>73</v>
      </c>
      <c r="B10" t="s">
        <v>74</v>
      </c>
      <c r="C10" t="s">
        <v>13</v>
      </c>
      <c r="D10">
        <v>2137</v>
      </c>
      <c r="E10" t="s">
        <v>21</v>
      </c>
      <c r="F10" t="s">
        <v>75</v>
      </c>
      <c r="H10" t="s">
        <v>28</v>
      </c>
      <c r="I10" t="s">
        <v>32</v>
      </c>
      <c r="J10" t="s">
        <v>37</v>
      </c>
    </row>
    <row r="11" spans="1:11">
      <c r="A11" t="s">
        <v>76</v>
      </c>
      <c r="B11" t="s">
        <v>53</v>
      </c>
      <c r="C11" t="s">
        <v>14</v>
      </c>
      <c r="D11">
        <v>16</v>
      </c>
      <c r="E11" t="s">
        <v>20</v>
      </c>
      <c r="F11" t="s">
        <v>77</v>
      </c>
      <c r="H11" t="s">
        <v>28</v>
      </c>
      <c r="I11" t="s">
        <v>33</v>
      </c>
      <c r="J11" t="s">
        <v>38</v>
      </c>
    </row>
    <row r="12" spans="1:11">
      <c r="A12" t="s">
        <v>78</v>
      </c>
      <c r="B12" t="s">
        <v>79</v>
      </c>
      <c r="C12" t="s">
        <v>12</v>
      </c>
      <c r="D12">
        <v>450</v>
      </c>
      <c r="E12" t="s">
        <v>16</v>
      </c>
      <c r="F12" t="s">
        <v>80</v>
      </c>
      <c r="G12" t="s">
        <v>81</v>
      </c>
      <c r="H12" t="s">
        <v>28</v>
      </c>
      <c r="I12" t="s">
        <v>32</v>
      </c>
      <c r="J12" t="s">
        <v>37</v>
      </c>
    </row>
    <row r="13" spans="1:11">
      <c r="A13" t="s">
        <v>82</v>
      </c>
      <c r="B13" t="s">
        <v>74</v>
      </c>
      <c r="C13" t="s">
        <v>13</v>
      </c>
      <c r="D13">
        <v>2433</v>
      </c>
      <c r="E13" t="s">
        <v>21</v>
      </c>
      <c r="F13" t="s">
        <v>83</v>
      </c>
      <c r="H13" t="s">
        <v>26</v>
      </c>
      <c r="I13" t="s">
        <v>33</v>
      </c>
      <c r="J13" t="s">
        <v>37</v>
      </c>
    </row>
    <row r="14" spans="1:11">
      <c r="A14" t="s">
        <v>84</v>
      </c>
      <c r="B14" t="s">
        <v>85</v>
      </c>
      <c r="C14" t="s">
        <v>12</v>
      </c>
      <c r="D14">
        <v>314</v>
      </c>
      <c r="E14" t="s">
        <v>16</v>
      </c>
      <c r="F14" t="s">
        <v>86</v>
      </c>
      <c r="G14" t="s">
        <v>87</v>
      </c>
      <c r="H14" t="s">
        <v>27</v>
      </c>
      <c r="I14" t="s">
        <v>31</v>
      </c>
      <c r="J14" t="s">
        <v>37</v>
      </c>
    </row>
    <row r="15" spans="1:11">
      <c r="A15" t="s">
        <v>88</v>
      </c>
      <c r="B15" t="s">
        <v>63</v>
      </c>
      <c r="C15" t="s">
        <v>13</v>
      </c>
      <c r="D15">
        <v>2769</v>
      </c>
      <c r="E15" t="s">
        <v>21</v>
      </c>
      <c r="F15" t="s">
        <v>89</v>
      </c>
      <c r="H15" t="s">
        <v>28</v>
      </c>
      <c r="I15" t="s">
        <v>31</v>
      </c>
      <c r="J15" t="s">
        <v>37</v>
      </c>
    </row>
    <row r="16" spans="1:11">
      <c r="A16" t="s">
        <v>90</v>
      </c>
      <c r="B16" t="s">
        <v>91</v>
      </c>
      <c r="C16" t="s">
        <v>13</v>
      </c>
      <c r="D16">
        <v>1061</v>
      </c>
      <c r="E16" t="s">
        <v>21</v>
      </c>
      <c r="F16" t="s">
        <v>92</v>
      </c>
      <c r="H16" t="s">
        <v>28</v>
      </c>
      <c r="I16" t="s">
        <v>32</v>
      </c>
      <c r="J16" t="s">
        <v>37</v>
      </c>
    </row>
    <row r="17" spans="1:10">
      <c r="A17" t="s">
        <v>93</v>
      </c>
      <c r="B17" t="s">
        <v>94</v>
      </c>
      <c r="C17" t="s">
        <v>14</v>
      </c>
      <c r="D17">
        <v>41</v>
      </c>
      <c r="E17" t="s">
        <v>20</v>
      </c>
      <c r="F17" t="s">
        <v>95</v>
      </c>
      <c r="H17" t="s">
        <v>30</v>
      </c>
      <c r="I17" t="s">
        <v>34</v>
      </c>
      <c r="J17" t="s">
        <v>38</v>
      </c>
    </row>
    <row r="18" spans="1:10">
      <c r="A18" t="s">
        <v>96</v>
      </c>
      <c r="B18" t="s">
        <v>97</v>
      </c>
      <c r="C18" t="s">
        <v>12</v>
      </c>
      <c r="D18">
        <v>39</v>
      </c>
      <c r="E18" t="s">
        <v>16</v>
      </c>
      <c r="F18" t="s">
        <v>98</v>
      </c>
      <c r="G18" t="s">
        <v>99</v>
      </c>
      <c r="H18" t="s">
        <v>27</v>
      </c>
      <c r="I18" t="s">
        <v>33</v>
      </c>
      <c r="J18" t="s">
        <v>38</v>
      </c>
    </row>
    <row r="19" spans="1:10">
      <c r="A19" t="s">
        <v>100</v>
      </c>
      <c r="B19" t="s">
        <v>101</v>
      </c>
      <c r="C19" t="s">
        <v>12</v>
      </c>
      <c r="D19">
        <v>406</v>
      </c>
      <c r="E19" t="s">
        <v>16</v>
      </c>
      <c r="F19" t="s">
        <v>102</v>
      </c>
      <c r="G19" t="s">
        <v>103</v>
      </c>
      <c r="H19" t="s">
        <v>28</v>
      </c>
      <c r="I19" t="s">
        <v>35</v>
      </c>
      <c r="J19" t="s">
        <v>37</v>
      </c>
    </row>
    <row r="20" spans="1:10">
      <c r="A20" t="s">
        <v>104</v>
      </c>
      <c r="B20" t="s">
        <v>105</v>
      </c>
      <c r="C20" t="s">
        <v>12</v>
      </c>
      <c r="D20">
        <v>379</v>
      </c>
      <c r="E20" t="s">
        <v>16</v>
      </c>
      <c r="F20" t="s">
        <v>64</v>
      </c>
      <c r="G20" t="s">
        <v>106</v>
      </c>
      <c r="H20" t="s">
        <v>28</v>
      </c>
      <c r="I20" t="s">
        <v>35</v>
      </c>
      <c r="J20" t="s">
        <v>37</v>
      </c>
    </row>
    <row r="21" spans="1:10">
      <c r="A21" t="s">
        <v>107</v>
      </c>
      <c r="B21" t="s">
        <v>94</v>
      </c>
      <c r="C21" t="s">
        <v>14</v>
      </c>
      <c r="D21">
        <v>135</v>
      </c>
      <c r="E21" t="s">
        <v>20</v>
      </c>
      <c r="F21" t="s">
        <v>108</v>
      </c>
      <c r="H21" t="s">
        <v>30</v>
      </c>
      <c r="I21" t="s">
        <v>34</v>
      </c>
      <c r="J21" t="s">
        <v>37</v>
      </c>
    </row>
    <row r="22" spans="1:10">
      <c r="A22" t="s">
        <v>109</v>
      </c>
      <c r="B22" t="s">
        <v>63</v>
      </c>
      <c r="C22" t="s">
        <v>13</v>
      </c>
      <c r="D22">
        <v>839</v>
      </c>
      <c r="E22" t="s">
        <v>21</v>
      </c>
      <c r="F22" t="s">
        <v>110</v>
      </c>
      <c r="H22" t="s">
        <v>28</v>
      </c>
      <c r="I22" t="s">
        <v>34</v>
      </c>
      <c r="J22" t="s">
        <v>37</v>
      </c>
    </row>
    <row r="23" spans="1:10">
      <c r="A23" t="s">
        <v>111</v>
      </c>
      <c r="B23" t="s">
        <v>69</v>
      </c>
      <c r="C23" t="s">
        <v>13</v>
      </c>
      <c r="D23">
        <v>463</v>
      </c>
      <c r="E23" t="s">
        <v>21</v>
      </c>
      <c r="F23" t="s">
        <v>112</v>
      </c>
      <c r="H23" t="s">
        <v>27</v>
      </c>
      <c r="I23" t="s">
        <v>34</v>
      </c>
      <c r="J23" t="s">
        <v>37</v>
      </c>
    </row>
    <row r="24" spans="1:10">
      <c r="A24" t="s">
        <v>113</v>
      </c>
      <c r="B24" t="s">
        <v>114</v>
      </c>
      <c r="C24" t="s">
        <v>12</v>
      </c>
      <c r="D24">
        <v>195</v>
      </c>
      <c r="E24" t="s">
        <v>16</v>
      </c>
      <c r="F24" t="s">
        <v>115</v>
      </c>
      <c r="G24" t="s">
        <v>116</v>
      </c>
      <c r="H24" t="s">
        <v>30</v>
      </c>
      <c r="I24" t="s">
        <v>35</v>
      </c>
      <c r="J24" t="s">
        <v>37</v>
      </c>
    </row>
    <row r="25" spans="1:10">
      <c r="A25" t="s">
        <v>117</v>
      </c>
      <c r="B25" t="s">
        <v>118</v>
      </c>
      <c r="C25" t="s">
        <v>12</v>
      </c>
      <c r="D25">
        <v>26</v>
      </c>
      <c r="E25" t="s">
        <v>16</v>
      </c>
      <c r="F25" t="s">
        <v>119</v>
      </c>
      <c r="G25" t="s">
        <v>120</v>
      </c>
      <c r="H25" t="s">
        <v>29</v>
      </c>
      <c r="I25" t="s">
        <v>33</v>
      </c>
      <c r="J25" t="s">
        <v>40</v>
      </c>
    </row>
    <row r="26" spans="1:10">
      <c r="A26" t="s">
        <v>121</v>
      </c>
      <c r="B26" t="s">
        <v>56</v>
      </c>
      <c r="C26" t="s">
        <v>12</v>
      </c>
      <c r="D26">
        <v>393</v>
      </c>
      <c r="E26" t="s">
        <v>16</v>
      </c>
      <c r="F26" t="s">
        <v>122</v>
      </c>
      <c r="G26" t="s">
        <v>123</v>
      </c>
      <c r="H26" t="s">
        <v>30</v>
      </c>
      <c r="I26" t="s">
        <v>34</v>
      </c>
      <c r="J26" t="s">
        <v>37</v>
      </c>
    </row>
    <row r="27" spans="1:10">
      <c r="A27" t="s">
        <v>124</v>
      </c>
      <c r="B27" t="s">
        <v>125</v>
      </c>
      <c r="C27" t="s">
        <v>12</v>
      </c>
      <c r="D27">
        <v>368</v>
      </c>
      <c r="E27" t="s">
        <v>16</v>
      </c>
      <c r="F27" t="s">
        <v>83</v>
      </c>
      <c r="G27" t="s">
        <v>126</v>
      </c>
      <c r="H27" t="s">
        <v>26</v>
      </c>
      <c r="I27" t="s">
        <v>36</v>
      </c>
      <c r="J27" t="s">
        <v>37</v>
      </c>
    </row>
    <row r="28" spans="1:10">
      <c r="A28" t="s">
        <v>127</v>
      </c>
      <c r="B28" t="s">
        <v>50</v>
      </c>
      <c r="C28" t="s">
        <v>14</v>
      </c>
      <c r="D28">
        <v>6</v>
      </c>
      <c r="E28" t="s">
        <v>20</v>
      </c>
      <c r="F28" t="s">
        <v>128</v>
      </c>
      <c r="H28" t="s">
        <v>29</v>
      </c>
      <c r="I28" t="s">
        <v>35</v>
      </c>
      <c r="J28" t="s">
        <v>38</v>
      </c>
    </row>
    <row r="29" spans="1:10">
      <c r="A29" t="s">
        <v>129</v>
      </c>
      <c r="B29" t="s">
        <v>130</v>
      </c>
      <c r="C29" t="s">
        <v>12</v>
      </c>
      <c r="D29">
        <v>485</v>
      </c>
      <c r="E29" t="s">
        <v>16</v>
      </c>
      <c r="F29" t="s">
        <v>131</v>
      </c>
      <c r="G29" t="s">
        <v>132</v>
      </c>
      <c r="H29" t="s">
        <v>30</v>
      </c>
      <c r="I29" t="s">
        <v>32</v>
      </c>
      <c r="J29" t="s">
        <v>37</v>
      </c>
    </row>
    <row r="30" spans="1:10">
      <c r="A30" t="s">
        <v>133</v>
      </c>
      <c r="B30" t="s">
        <v>85</v>
      </c>
      <c r="C30" t="s">
        <v>12</v>
      </c>
      <c r="D30">
        <v>142</v>
      </c>
      <c r="E30" t="s">
        <v>16</v>
      </c>
      <c r="F30" t="s">
        <v>134</v>
      </c>
      <c r="G30" t="s">
        <v>135</v>
      </c>
      <c r="H30" t="s">
        <v>26</v>
      </c>
      <c r="I30" t="s">
        <v>33</v>
      </c>
      <c r="J30" t="s">
        <v>37</v>
      </c>
    </row>
    <row r="31" spans="1:10">
      <c r="A31" t="s">
        <v>136</v>
      </c>
      <c r="B31" t="s">
        <v>94</v>
      </c>
      <c r="C31" t="s">
        <v>14</v>
      </c>
      <c r="D31">
        <v>125</v>
      </c>
      <c r="E31" t="s">
        <v>20</v>
      </c>
      <c r="F31" t="s">
        <v>137</v>
      </c>
      <c r="H31" t="s">
        <v>28</v>
      </c>
      <c r="I31" t="s">
        <v>35</v>
      </c>
      <c r="J31" t="s">
        <v>37</v>
      </c>
    </row>
    <row r="32" spans="1:10">
      <c r="A32" t="s">
        <v>138</v>
      </c>
      <c r="B32" t="s">
        <v>139</v>
      </c>
      <c r="C32" t="s">
        <v>14</v>
      </c>
      <c r="D32">
        <v>176</v>
      </c>
      <c r="E32" t="s">
        <v>20</v>
      </c>
      <c r="F32" t="s">
        <v>70</v>
      </c>
      <c r="H32" t="s">
        <v>26</v>
      </c>
      <c r="I32" t="s">
        <v>34</v>
      </c>
      <c r="J32" t="s">
        <v>37</v>
      </c>
    </row>
    <row r="33" spans="1:10">
      <c r="A33" t="s">
        <v>140</v>
      </c>
      <c r="B33" t="s">
        <v>125</v>
      </c>
      <c r="C33" t="s">
        <v>12</v>
      </c>
      <c r="D33">
        <v>63</v>
      </c>
      <c r="E33" t="s">
        <v>16</v>
      </c>
      <c r="F33" t="s">
        <v>141</v>
      </c>
      <c r="G33" t="s">
        <v>142</v>
      </c>
      <c r="H33" t="s">
        <v>29</v>
      </c>
      <c r="I33" t="s">
        <v>31</v>
      </c>
      <c r="J33" t="s">
        <v>37</v>
      </c>
    </row>
    <row r="34" spans="1:10">
      <c r="A34" t="s">
        <v>143</v>
      </c>
      <c r="B34" t="s">
        <v>130</v>
      </c>
      <c r="C34" t="s">
        <v>12</v>
      </c>
      <c r="D34">
        <v>410</v>
      </c>
      <c r="E34" t="s">
        <v>16</v>
      </c>
      <c r="F34" t="s">
        <v>144</v>
      </c>
      <c r="G34" t="s">
        <v>145</v>
      </c>
      <c r="H34" t="s">
        <v>30</v>
      </c>
      <c r="I34" t="s">
        <v>36</v>
      </c>
      <c r="J34" t="s">
        <v>37</v>
      </c>
    </row>
    <row r="35" spans="1:10">
      <c r="A35" t="s">
        <v>146</v>
      </c>
      <c r="B35" t="s">
        <v>130</v>
      </c>
      <c r="C35" t="s">
        <v>12</v>
      </c>
      <c r="D35">
        <v>43</v>
      </c>
      <c r="E35" t="s">
        <v>16</v>
      </c>
      <c r="F35" t="s">
        <v>147</v>
      </c>
      <c r="G35" t="s">
        <v>148</v>
      </c>
      <c r="H35" t="s">
        <v>28</v>
      </c>
      <c r="I35" t="s">
        <v>34</v>
      </c>
      <c r="J35" t="s">
        <v>38</v>
      </c>
    </row>
    <row r="36" spans="1:10">
      <c r="A36" t="s">
        <v>149</v>
      </c>
      <c r="B36" t="s">
        <v>150</v>
      </c>
      <c r="C36" t="s">
        <v>13</v>
      </c>
      <c r="D36">
        <v>1999</v>
      </c>
      <c r="E36" t="s">
        <v>21</v>
      </c>
      <c r="F36" t="s">
        <v>151</v>
      </c>
      <c r="H36" t="s">
        <v>30</v>
      </c>
      <c r="I36" t="s">
        <v>34</v>
      </c>
      <c r="J36" t="s">
        <v>37</v>
      </c>
    </row>
    <row r="37" spans="1:10">
      <c r="A37" t="s">
        <v>152</v>
      </c>
      <c r="B37" t="s">
        <v>153</v>
      </c>
      <c r="C37" t="s">
        <v>14</v>
      </c>
      <c r="D37">
        <v>71</v>
      </c>
      <c r="E37" t="s">
        <v>20</v>
      </c>
      <c r="F37" t="s">
        <v>154</v>
      </c>
      <c r="H37" t="s">
        <v>29</v>
      </c>
      <c r="I37" t="s">
        <v>35</v>
      </c>
      <c r="J37" t="s">
        <v>37</v>
      </c>
    </row>
    <row r="38" spans="1:10">
      <c r="A38" t="s">
        <v>155</v>
      </c>
      <c r="B38" t="s">
        <v>105</v>
      </c>
      <c r="C38" t="s">
        <v>12</v>
      </c>
      <c r="D38">
        <v>310</v>
      </c>
      <c r="E38" t="s">
        <v>16</v>
      </c>
      <c r="F38" t="s">
        <v>156</v>
      </c>
      <c r="G38" t="s">
        <v>157</v>
      </c>
      <c r="H38" t="s">
        <v>30</v>
      </c>
      <c r="I38" t="s">
        <v>35</v>
      </c>
      <c r="J38" t="s">
        <v>37</v>
      </c>
    </row>
    <row r="39" spans="1:10">
      <c r="A39" t="s">
        <v>158</v>
      </c>
      <c r="B39" t="s">
        <v>56</v>
      </c>
      <c r="C39" t="s">
        <v>12</v>
      </c>
      <c r="D39">
        <v>240</v>
      </c>
      <c r="E39" t="s">
        <v>16</v>
      </c>
      <c r="F39" t="s">
        <v>159</v>
      </c>
      <c r="G39" t="s">
        <v>160</v>
      </c>
      <c r="H39" t="s">
        <v>30</v>
      </c>
      <c r="I39" t="s">
        <v>35</v>
      </c>
      <c r="J39" t="s">
        <v>37</v>
      </c>
    </row>
    <row r="40" spans="1:10">
      <c r="A40" t="s">
        <v>161</v>
      </c>
      <c r="B40" t="s">
        <v>50</v>
      </c>
      <c r="C40" t="s">
        <v>14</v>
      </c>
      <c r="D40">
        <v>36</v>
      </c>
      <c r="E40" t="s">
        <v>20</v>
      </c>
      <c r="F40" t="s">
        <v>162</v>
      </c>
      <c r="H40" t="s">
        <v>26</v>
      </c>
      <c r="I40" t="s">
        <v>34</v>
      </c>
      <c r="J40" t="s">
        <v>38</v>
      </c>
    </row>
    <row r="41" spans="1:10">
      <c r="A41" t="s">
        <v>163</v>
      </c>
      <c r="B41" t="s">
        <v>164</v>
      </c>
      <c r="C41" t="s">
        <v>14</v>
      </c>
      <c r="D41">
        <v>38</v>
      </c>
      <c r="E41" t="s">
        <v>20</v>
      </c>
      <c r="F41" t="s">
        <v>165</v>
      </c>
      <c r="H41" t="s">
        <v>27</v>
      </c>
      <c r="I41" t="s">
        <v>32</v>
      </c>
      <c r="J41" t="s">
        <v>38</v>
      </c>
    </row>
    <row r="42" spans="1:10">
      <c r="A42" t="s">
        <v>166</v>
      </c>
      <c r="B42" t="s">
        <v>66</v>
      </c>
      <c r="C42" t="s">
        <v>14</v>
      </c>
      <c r="D42">
        <v>52</v>
      </c>
      <c r="E42" t="s">
        <v>20</v>
      </c>
      <c r="F42" t="s">
        <v>167</v>
      </c>
      <c r="H42" t="s">
        <v>26</v>
      </c>
      <c r="I42" t="s">
        <v>35</v>
      </c>
      <c r="J42" t="s">
        <v>37</v>
      </c>
    </row>
    <row r="43" spans="1:10">
      <c r="A43" t="s">
        <v>168</v>
      </c>
      <c r="B43" t="s">
        <v>150</v>
      </c>
      <c r="C43" t="s">
        <v>13</v>
      </c>
      <c r="D43">
        <v>2687</v>
      </c>
      <c r="E43" t="s">
        <v>21</v>
      </c>
      <c r="F43" t="s">
        <v>169</v>
      </c>
      <c r="H43" t="s">
        <v>29</v>
      </c>
      <c r="I43" t="s">
        <v>36</v>
      </c>
      <c r="J43" t="s">
        <v>37</v>
      </c>
    </row>
    <row r="44" spans="1:10">
      <c r="A44" t="s">
        <v>170</v>
      </c>
      <c r="B44" t="s">
        <v>91</v>
      </c>
      <c r="C44" t="s">
        <v>13</v>
      </c>
      <c r="D44">
        <v>2019</v>
      </c>
      <c r="E44" t="s">
        <v>21</v>
      </c>
      <c r="F44" t="s">
        <v>171</v>
      </c>
      <c r="H44" t="s">
        <v>27</v>
      </c>
      <c r="I44" t="s">
        <v>31</v>
      </c>
      <c r="J44" t="s">
        <v>37</v>
      </c>
    </row>
    <row r="45" spans="1:10">
      <c r="A45" t="s">
        <v>172</v>
      </c>
      <c r="B45" t="s">
        <v>125</v>
      </c>
      <c r="C45" t="s">
        <v>12</v>
      </c>
      <c r="D45">
        <v>491</v>
      </c>
      <c r="E45" t="s">
        <v>16</v>
      </c>
      <c r="F45" t="s">
        <v>173</v>
      </c>
      <c r="G45" t="s">
        <v>174</v>
      </c>
      <c r="H45" t="s">
        <v>27</v>
      </c>
      <c r="I45" t="s">
        <v>32</v>
      </c>
      <c r="J45" t="s">
        <v>37</v>
      </c>
    </row>
    <row r="46" spans="1:10">
      <c r="A46" t="s">
        <v>175</v>
      </c>
      <c r="B46" t="s">
        <v>63</v>
      </c>
      <c r="C46" t="s">
        <v>13</v>
      </c>
      <c r="D46">
        <v>3946</v>
      </c>
      <c r="E46" t="s">
        <v>21</v>
      </c>
      <c r="F46" t="s">
        <v>176</v>
      </c>
      <c r="H46" t="s">
        <v>26</v>
      </c>
      <c r="I46" t="s">
        <v>34</v>
      </c>
      <c r="J46" t="s">
        <v>37</v>
      </c>
    </row>
    <row r="47" spans="1:10">
      <c r="A47" t="s">
        <v>177</v>
      </c>
      <c r="B47" t="s">
        <v>69</v>
      </c>
      <c r="C47" t="s">
        <v>13</v>
      </c>
      <c r="D47">
        <v>1291</v>
      </c>
      <c r="E47" t="s">
        <v>21</v>
      </c>
      <c r="F47" t="s">
        <v>178</v>
      </c>
      <c r="H47" t="s">
        <v>28</v>
      </c>
      <c r="I47" t="s">
        <v>31</v>
      </c>
      <c r="J47" t="s">
        <v>37</v>
      </c>
    </row>
    <row r="48" spans="1:10">
      <c r="A48" t="s">
        <v>179</v>
      </c>
      <c r="B48" t="s">
        <v>63</v>
      </c>
      <c r="C48" t="s">
        <v>13</v>
      </c>
      <c r="D48">
        <v>4926</v>
      </c>
      <c r="E48" t="s">
        <v>21</v>
      </c>
      <c r="F48" t="s">
        <v>180</v>
      </c>
      <c r="H48" t="s">
        <v>30</v>
      </c>
      <c r="I48" t="s">
        <v>31</v>
      </c>
      <c r="J48" t="s">
        <v>37</v>
      </c>
    </row>
    <row r="49" spans="1:10">
      <c r="A49" t="s">
        <v>181</v>
      </c>
      <c r="B49" t="s">
        <v>74</v>
      </c>
      <c r="C49" t="s">
        <v>13</v>
      </c>
      <c r="D49">
        <v>2117</v>
      </c>
      <c r="E49" t="s">
        <v>21</v>
      </c>
      <c r="F49" t="s">
        <v>182</v>
      </c>
      <c r="H49" t="s">
        <v>28</v>
      </c>
      <c r="I49" t="s">
        <v>31</v>
      </c>
      <c r="J49" t="s">
        <v>37</v>
      </c>
    </row>
    <row r="50" spans="1:10">
      <c r="A50" t="s">
        <v>183</v>
      </c>
      <c r="B50" t="s">
        <v>164</v>
      </c>
      <c r="C50" t="s">
        <v>14</v>
      </c>
      <c r="D50">
        <v>171</v>
      </c>
      <c r="E50" t="s">
        <v>20</v>
      </c>
      <c r="F50" t="s">
        <v>184</v>
      </c>
      <c r="H50" t="s">
        <v>27</v>
      </c>
      <c r="I50" t="s">
        <v>34</v>
      </c>
      <c r="J50" t="s">
        <v>37</v>
      </c>
    </row>
    <row r="51" spans="1:10">
      <c r="A51" t="s">
        <v>185</v>
      </c>
      <c r="B51" t="s">
        <v>139</v>
      </c>
      <c r="C51" t="s">
        <v>14</v>
      </c>
      <c r="D51">
        <v>125</v>
      </c>
      <c r="E51" t="s">
        <v>20</v>
      </c>
      <c r="F51" t="s">
        <v>162</v>
      </c>
      <c r="H51" t="s">
        <v>26</v>
      </c>
      <c r="I51" t="s">
        <v>35</v>
      </c>
      <c r="J51" t="s">
        <v>37</v>
      </c>
    </row>
    <row r="52" spans="1:10">
      <c r="A52" t="s">
        <v>186</v>
      </c>
      <c r="B52" t="s">
        <v>150</v>
      </c>
      <c r="C52" t="s">
        <v>13</v>
      </c>
      <c r="D52">
        <v>840</v>
      </c>
      <c r="E52" t="s">
        <v>21</v>
      </c>
      <c r="F52" t="s">
        <v>70</v>
      </c>
      <c r="H52" t="s">
        <v>30</v>
      </c>
      <c r="I52" t="s">
        <v>33</v>
      </c>
      <c r="J52" t="s">
        <v>37</v>
      </c>
    </row>
    <row r="53" spans="1:10">
      <c r="A53" t="s">
        <v>187</v>
      </c>
      <c r="B53" t="s">
        <v>56</v>
      </c>
      <c r="C53" t="s">
        <v>12</v>
      </c>
      <c r="D53">
        <v>104</v>
      </c>
      <c r="E53" t="s">
        <v>16</v>
      </c>
      <c r="F53" t="s">
        <v>188</v>
      </c>
      <c r="G53" t="s">
        <v>189</v>
      </c>
      <c r="H53" t="s">
        <v>27</v>
      </c>
      <c r="I53" t="s">
        <v>35</v>
      </c>
      <c r="J53" t="s">
        <v>39</v>
      </c>
    </row>
    <row r="54" spans="1:10">
      <c r="A54" t="s">
        <v>190</v>
      </c>
      <c r="B54" t="s">
        <v>153</v>
      </c>
      <c r="C54" t="s">
        <v>14</v>
      </c>
      <c r="D54">
        <v>87</v>
      </c>
      <c r="E54" t="s">
        <v>20</v>
      </c>
      <c r="F54" t="s">
        <v>173</v>
      </c>
      <c r="H54" t="s">
        <v>27</v>
      </c>
      <c r="I54" t="s">
        <v>34</v>
      </c>
      <c r="J54" t="s">
        <v>37</v>
      </c>
    </row>
    <row r="55" spans="1:10">
      <c r="A55" t="s">
        <v>191</v>
      </c>
      <c r="B55" t="s">
        <v>79</v>
      </c>
      <c r="C55" t="s">
        <v>12</v>
      </c>
      <c r="D55">
        <v>289</v>
      </c>
      <c r="E55" t="s">
        <v>16</v>
      </c>
      <c r="F55" t="s">
        <v>192</v>
      </c>
      <c r="G55" t="s">
        <v>193</v>
      </c>
      <c r="H55" t="s">
        <v>26</v>
      </c>
      <c r="I55" t="s">
        <v>34</v>
      </c>
      <c r="J55" t="s">
        <v>39</v>
      </c>
    </row>
    <row r="56" spans="1:10">
      <c r="A56" t="s">
        <v>194</v>
      </c>
      <c r="B56" t="s">
        <v>114</v>
      </c>
      <c r="C56" t="s">
        <v>12</v>
      </c>
      <c r="D56">
        <v>356</v>
      </c>
      <c r="E56" t="s">
        <v>16</v>
      </c>
      <c r="F56" t="s">
        <v>195</v>
      </c>
      <c r="G56" t="s">
        <v>196</v>
      </c>
      <c r="H56" t="s">
        <v>29</v>
      </c>
      <c r="I56" t="s">
        <v>31</v>
      </c>
      <c r="J56" t="s">
        <v>37</v>
      </c>
    </row>
    <row r="57" spans="1:10">
      <c r="A57" t="s">
        <v>197</v>
      </c>
      <c r="B57" t="s">
        <v>94</v>
      </c>
      <c r="C57" t="s">
        <v>14</v>
      </c>
      <c r="D57">
        <v>159</v>
      </c>
      <c r="E57" t="s">
        <v>20</v>
      </c>
      <c r="F57" t="s">
        <v>198</v>
      </c>
      <c r="H57" t="s">
        <v>29</v>
      </c>
      <c r="I57" t="s">
        <v>31</v>
      </c>
      <c r="J57" t="s">
        <v>37</v>
      </c>
    </row>
    <row r="58" spans="1:10">
      <c r="A58" t="s">
        <v>199</v>
      </c>
      <c r="B58" t="s">
        <v>56</v>
      </c>
      <c r="C58" t="s">
        <v>12</v>
      </c>
      <c r="D58">
        <v>444</v>
      </c>
      <c r="E58" t="s">
        <v>16</v>
      </c>
      <c r="F58" t="s">
        <v>115</v>
      </c>
      <c r="G58" t="s">
        <v>200</v>
      </c>
      <c r="H58" t="s">
        <v>26</v>
      </c>
      <c r="I58" t="s">
        <v>35</v>
      </c>
      <c r="J58" t="s">
        <v>37</v>
      </c>
    </row>
    <row r="59" spans="1:10">
      <c r="A59" t="s">
        <v>201</v>
      </c>
      <c r="B59" t="s">
        <v>130</v>
      </c>
      <c r="C59" t="s">
        <v>12</v>
      </c>
      <c r="D59">
        <v>401</v>
      </c>
      <c r="E59" t="s">
        <v>16</v>
      </c>
      <c r="F59" t="s">
        <v>167</v>
      </c>
      <c r="G59" t="s">
        <v>202</v>
      </c>
      <c r="H59" t="s">
        <v>28</v>
      </c>
      <c r="I59" t="s">
        <v>33</v>
      </c>
      <c r="J59" t="s">
        <v>40</v>
      </c>
    </row>
    <row r="60" spans="1:10">
      <c r="A60" t="s">
        <v>203</v>
      </c>
      <c r="B60" t="s">
        <v>204</v>
      </c>
      <c r="C60" t="s">
        <v>13</v>
      </c>
      <c r="D60">
        <v>4461</v>
      </c>
      <c r="E60" t="s">
        <v>21</v>
      </c>
      <c r="F60" t="s">
        <v>205</v>
      </c>
      <c r="H60" t="s">
        <v>30</v>
      </c>
      <c r="I60" t="s">
        <v>33</v>
      </c>
      <c r="J60" t="s">
        <v>37</v>
      </c>
    </row>
    <row r="61" spans="1:10">
      <c r="A61" t="s">
        <v>206</v>
      </c>
      <c r="B61" t="s">
        <v>60</v>
      </c>
      <c r="C61" t="s">
        <v>14</v>
      </c>
      <c r="D61">
        <v>126</v>
      </c>
      <c r="E61" t="s">
        <v>20</v>
      </c>
      <c r="F61" t="s">
        <v>207</v>
      </c>
      <c r="H61" t="s">
        <v>28</v>
      </c>
      <c r="I61" t="s">
        <v>36</v>
      </c>
      <c r="J61" t="s">
        <v>37</v>
      </c>
    </row>
    <row r="62" spans="1:10">
      <c r="A62" t="s">
        <v>208</v>
      </c>
      <c r="B62" t="s">
        <v>74</v>
      </c>
      <c r="C62" t="s">
        <v>13</v>
      </c>
      <c r="D62">
        <v>4557</v>
      </c>
      <c r="E62" t="s">
        <v>21</v>
      </c>
      <c r="F62" t="s">
        <v>209</v>
      </c>
      <c r="H62" t="s">
        <v>27</v>
      </c>
      <c r="I62" t="s">
        <v>33</v>
      </c>
      <c r="J62" t="s">
        <v>37</v>
      </c>
    </row>
    <row r="63" spans="1:10">
      <c r="A63" t="s">
        <v>210</v>
      </c>
      <c r="B63" t="s">
        <v>91</v>
      </c>
      <c r="C63" t="s">
        <v>13</v>
      </c>
      <c r="D63">
        <v>1338</v>
      </c>
      <c r="E63" t="s">
        <v>21</v>
      </c>
      <c r="F63" t="s">
        <v>211</v>
      </c>
      <c r="H63" t="s">
        <v>28</v>
      </c>
      <c r="I63" t="s">
        <v>34</v>
      </c>
      <c r="J63" t="s">
        <v>37</v>
      </c>
    </row>
    <row r="64" spans="1:10">
      <c r="A64" t="s">
        <v>212</v>
      </c>
      <c r="B64" t="s">
        <v>94</v>
      </c>
      <c r="C64" t="s">
        <v>14</v>
      </c>
      <c r="D64">
        <v>69</v>
      </c>
      <c r="E64" t="s">
        <v>20</v>
      </c>
      <c r="F64" t="s">
        <v>213</v>
      </c>
      <c r="H64" t="s">
        <v>29</v>
      </c>
      <c r="I64" t="s">
        <v>33</v>
      </c>
      <c r="J64" t="s">
        <v>37</v>
      </c>
    </row>
    <row r="65" spans="1:10">
      <c r="A65" t="s">
        <v>214</v>
      </c>
      <c r="B65" t="s">
        <v>215</v>
      </c>
      <c r="C65" t="s">
        <v>14</v>
      </c>
      <c r="D65">
        <v>122</v>
      </c>
      <c r="E65" t="s">
        <v>20</v>
      </c>
      <c r="F65" t="s">
        <v>216</v>
      </c>
      <c r="H65" t="s">
        <v>26</v>
      </c>
      <c r="I65" t="s">
        <v>31</v>
      </c>
      <c r="J65" t="s">
        <v>37</v>
      </c>
    </row>
    <row r="66" spans="1:10">
      <c r="A66" t="s">
        <v>217</v>
      </c>
      <c r="B66" t="s">
        <v>94</v>
      </c>
      <c r="C66" t="s">
        <v>14</v>
      </c>
      <c r="D66">
        <v>134</v>
      </c>
      <c r="E66" t="s">
        <v>20</v>
      </c>
      <c r="F66" t="s">
        <v>218</v>
      </c>
      <c r="H66" t="s">
        <v>28</v>
      </c>
      <c r="I66" t="s">
        <v>34</v>
      </c>
      <c r="J66" t="s">
        <v>37</v>
      </c>
    </row>
    <row r="67" spans="1:10">
      <c r="A67" t="s">
        <v>219</v>
      </c>
      <c r="B67" t="s">
        <v>114</v>
      </c>
      <c r="C67" t="s">
        <v>12</v>
      </c>
      <c r="D67">
        <v>266</v>
      </c>
      <c r="E67" t="s">
        <v>16</v>
      </c>
      <c r="F67" t="s">
        <v>102</v>
      </c>
      <c r="G67" t="s">
        <v>220</v>
      </c>
      <c r="H67" t="s">
        <v>30</v>
      </c>
      <c r="I67" t="s">
        <v>31</v>
      </c>
      <c r="J67" t="s">
        <v>37</v>
      </c>
    </row>
    <row r="68" spans="1:10">
      <c r="A68" t="s">
        <v>221</v>
      </c>
      <c r="B68" t="s">
        <v>204</v>
      </c>
      <c r="C68" t="s">
        <v>13</v>
      </c>
      <c r="D68">
        <v>1086</v>
      </c>
      <c r="E68" t="s">
        <v>21</v>
      </c>
      <c r="F68" t="s">
        <v>222</v>
      </c>
      <c r="H68" t="s">
        <v>26</v>
      </c>
      <c r="I68" t="s">
        <v>34</v>
      </c>
      <c r="J68" t="s">
        <v>37</v>
      </c>
    </row>
    <row r="69" spans="1:10">
      <c r="A69" t="s">
        <v>223</v>
      </c>
      <c r="B69" t="s">
        <v>50</v>
      </c>
      <c r="C69" t="s">
        <v>14</v>
      </c>
      <c r="D69">
        <v>194</v>
      </c>
      <c r="E69" t="s">
        <v>20</v>
      </c>
      <c r="F69" t="s">
        <v>224</v>
      </c>
      <c r="H69" t="s">
        <v>26</v>
      </c>
      <c r="I69" t="s">
        <v>36</v>
      </c>
      <c r="J69" t="s">
        <v>37</v>
      </c>
    </row>
    <row r="70" spans="1:10">
      <c r="A70" t="s">
        <v>225</v>
      </c>
      <c r="B70" t="s">
        <v>74</v>
      </c>
      <c r="C70" t="s">
        <v>13</v>
      </c>
      <c r="D70">
        <v>2277</v>
      </c>
      <c r="E70" t="s">
        <v>21</v>
      </c>
      <c r="F70" t="s">
        <v>165</v>
      </c>
      <c r="H70" t="s">
        <v>29</v>
      </c>
      <c r="I70" t="s">
        <v>36</v>
      </c>
      <c r="J70" t="s">
        <v>37</v>
      </c>
    </row>
    <row r="71" spans="1:10">
      <c r="A71" t="s">
        <v>226</v>
      </c>
      <c r="B71" t="s">
        <v>91</v>
      </c>
      <c r="C71" t="s">
        <v>13</v>
      </c>
      <c r="D71">
        <v>3897</v>
      </c>
      <c r="E71" t="s">
        <v>21</v>
      </c>
      <c r="F71" t="s">
        <v>98</v>
      </c>
      <c r="H71" t="s">
        <v>30</v>
      </c>
      <c r="I71" t="s">
        <v>31</v>
      </c>
      <c r="J71" t="s">
        <v>37</v>
      </c>
    </row>
    <row r="72" spans="1:10">
      <c r="A72" t="s">
        <v>227</v>
      </c>
      <c r="B72" t="s">
        <v>94</v>
      </c>
      <c r="C72" t="s">
        <v>14</v>
      </c>
      <c r="D72">
        <v>85</v>
      </c>
      <c r="E72" t="s">
        <v>20</v>
      </c>
      <c r="F72" t="s">
        <v>228</v>
      </c>
      <c r="H72" t="s">
        <v>29</v>
      </c>
      <c r="I72" t="s">
        <v>34</v>
      </c>
      <c r="J72" t="s">
        <v>37</v>
      </c>
    </row>
    <row r="73" spans="1:10">
      <c r="A73" t="s">
        <v>229</v>
      </c>
      <c r="B73" t="s">
        <v>130</v>
      </c>
      <c r="C73" t="s">
        <v>12</v>
      </c>
      <c r="D73">
        <v>378</v>
      </c>
      <c r="E73" t="s">
        <v>16</v>
      </c>
      <c r="F73" t="s">
        <v>230</v>
      </c>
      <c r="G73" t="s">
        <v>231</v>
      </c>
      <c r="H73" t="s">
        <v>27</v>
      </c>
      <c r="I73" t="s">
        <v>35</v>
      </c>
      <c r="J73" t="s">
        <v>37</v>
      </c>
    </row>
    <row r="74" spans="1:10">
      <c r="A74" t="s">
        <v>232</v>
      </c>
      <c r="B74" t="s">
        <v>56</v>
      </c>
      <c r="C74" t="s">
        <v>12</v>
      </c>
      <c r="D74">
        <v>377</v>
      </c>
      <c r="E74" t="s">
        <v>16</v>
      </c>
      <c r="F74" t="s">
        <v>233</v>
      </c>
      <c r="G74" t="s">
        <v>234</v>
      </c>
      <c r="H74" t="s">
        <v>26</v>
      </c>
      <c r="I74" t="s">
        <v>35</v>
      </c>
      <c r="J74" t="s">
        <v>37</v>
      </c>
    </row>
    <row r="75" spans="1:10">
      <c r="A75" t="s">
        <v>235</v>
      </c>
      <c r="B75" t="s">
        <v>204</v>
      </c>
      <c r="C75" t="s">
        <v>13</v>
      </c>
      <c r="D75">
        <v>2265</v>
      </c>
      <c r="E75" t="s">
        <v>21</v>
      </c>
      <c r="F75" t="s">
        <v>236</v>
      </c>
      <c r="H75" t="s">
        <v>30</v>
      </c>
      <c r="I75" t="s">
        <v>31</v>
      </c>
      <c r="J75" t="s">
        <v>37</v>
      </c>
    </row>
    <row r="76" spans="1:10">
      <c r="A76" t="s">
        <v>237</v>
      </c>
      <c r="B76" t="s">
        <v>53</v>
      </c>
      <c r="C76" t="s">
        <v>14</v>
      </c>
      <c r="D76">
        <v>16</v>
      </c>
      <c r="E76" t="s">
        <v>20</v>
      </c>
      <c r="F76" t="s">
        <v>238</v>
      </c>
      <c r="H76" t="s">
        <v>28</v>
      </c>
      <c r="I76" t="s">
        <v>32</v>
      </c>
      <c r="J76" t="s">
        <v>38</v>
      </c>
    </row>
    <row r="77" spans="1:10">
      <c r="A77" t="s">
        <v>239</v>
      </c>
      <c r="B77" t="s">
        <v>63</v>
      </c>
      <c r="C77" t="s">
        <v>13</v>
      </c>
      <c r="D77">
        <v>3062</v>
      </c>
      <c r="E77" t="s">
        <v>21</v>
      </c>
      <c r="F77" t="s">
        <v>240</v>
      </c>
      <c r="H77" t="s">
        <v>29</v>
      </c>
      <c r="I77" t="s">
        <v>32</v>
      </c>
      <c r="J77" t="s">
        <v>37</v>
      </c>
    </row>
    <row r="78" spans="1:10">
      <c r="A78" t="s">
        <v>241</v>
      </c>
      <c r="B78" t="s">
        <v>69</v>
      </c>
      <c r="C78" t="s">
        <v>13</v>
      </c>
      <c r="D78">
        <v>260</v>
      </c>
      <c r="E78" t="s">
        <v>21</v>
      </c>
      <c r="F78" t="s">
        <v>242</v>
      </c>
      <c r="H78" t="s">
        <v>28</v>
      </c>
      <c r="I78" t="s">
        <v>33</v>
      </c>
      <c r="J78" t="s">
        <v>37</v>
      </c>
    </row>
    <row r="79" spans="1:10">
      <c r="A79" t="s">
        <v>243</v>
      </c>
      <c r="B79" t="s">
        <v>101</v>
      </c>
      <c r="C79" t="s">
        <v>12</v>
      </c>
      <c r="D79">
        <v>144</v>
      </c>
      <c r="E79" t="s">
        <v>16</v>
      </c>
      <c r="F79" t="s">
        <v>244</v>
      </c>
      <c r="G79" t="s">
        <v>245</v>
      </c>
      <c r="H79" t="s">
        <v>30</v>
      </c>
      <c r="I79" t="s">
        <v>34</v>
      </c>
      <c r="J79" t="s">
        <v>37</v>
      </c>
    </row>
    <row r="80" spans="1:10">
      <c r="A80" t="s">
        <v>246</v>
      </c>
      <c r="B80" t="s">
        <v>97</v>
      </c>
      <c r="C80" t="s">
        <v>12</v>
      </c>
      <c r="D80">
        <v>183</v>
      </c>
      <c r="E80" t="s">
        <v>16</v>
      </c>
      <c r="F80" t="s">
        <v>209</v>
      </c>
      <c r="G80" t="s">
        <v>142</v>
      </c>
      <c r="H80" t="s">
        <v>26</v>
      </c>
      <c r="I80" t="s">
        <v>33</v>
      </c>
      <c r="J80" t="s">
        <v>37</v>
      </c>
    </row>
    <row r="81" spans="1:10">
      <c r="A81" t="s">
        <v>247</v>
      </c>
      <c r="B81" t="s">
        <v>248</v>
      </c>
      <c r="C81" t="s">
        <v>14</v>
      </c>
      <c r="D81">
        <v>15</v>
      </c>
      <c r="E81" t="s">
        <v>20</v>
      </c>
      <c r="F81" t="s">
        <v>249</v>
      </c>
      <c r="H81" t="s">
        <v>29</v>
      </c>
      <c r="I81" t="s">
        <v>32</v>
      </c>
      <c r="J81" t="s">
        <v>38</v>
      </c>
    </row>
    <row r="82" spans="1:10">
      <c r="A82" t="s">
        <v>250</v>
      </c>
      <c r="B82" t="s">
        <v>85</v>
      </c>
      <c r="C82" t="s">
        <v>12</v>
      </c>
      <c r="D82">
        <v>197</v>
      </c>
      <c r="E82" t="s">
        <v>16</v>
      </c>
      <c r="F82" t="s">
        <v>251</v>
      </c>
      <c r="G82" t="s">
        <v>252</v>
      </c>
      <c r="H82" t="s">
        <v>27</v>
      </c>
      <c r="I82" t="s">
        <v>35</v>
      </c>
      <c r="J82" t="s">
        <v>37</v>
      </c>
    </row>
    <row r="83" spans="1:10">
      <c r="A83" t="s">
        <v>253</v>
      </c>
      <c r="B83" t="s">
        <v>79</v>
      </c>
      <c r="C83" t="s">
        <v>12</v>
      </c>
      <c r="D83">
        <v>248</v>
      </c>
      <c r="E83" t="s">
        <v>16</v>
      </c>
      <c r="F83" t="s">
        <v>254</v>
      </c>
      <c r="G83" t="s">
        <v>255</v>
      </c>
      <c r="H83" t="s">
        <v>28</v>
      </c>
      <c r="I83" t="s">
        <v>33</v>
      </c>
      <c r="J83" t="s">
        <v>37</v>
      </c>
    </row>
    <row r="84" spans="1:10">
      <c r="A84" t="s">
        <v>256</v>
      </c>
      <c r="B84" t="s">
        <v>248</v>
      </c>
      <c r="C84" t="s">
        <v>14</v>
      </c>
      <c r="D84">
        <v>98</v>
      </c>
      <c r="E84" t="s">
        <v>20</v>
      </c>
      <c r="F84" t="s">
        <v>257</v>
      </c>
      <c r="H84" t="s">
        <v>28</v>
      </c>
      <c r="I84" t="s">
        <v>36</v>
      </c>
      <c r="J84" t="s">
        <v>37</v>
      </c>
    </row>
    <row r="85" spans="1:10">
      <c r="A85" t="s">
        <v>258</v>
      </c>
      <c r="B85" t="s">
        <v>53</v>
      </c>
      <c r="C85" t="s">
        <v>14</v>
      </c>
      <c r="D85">
        <v>92</v>
      </c>
      <c r="E85" t="s">
        <v>20</v>
      </c>
      <c r="F85" t="s">
        <v>128</v>
      </c>
      <c r="H85" t="s">
        <v>30</v>
      </c>
      <c r="I85" t="s">
        <v>36</v>
      </c>
      <c r="J85" t="s">
        <v>37</v>
      </c>
    </row>
    <row r="86" spans="1:10">
      <c r="A86" t="s">
        <v>259</v>
      </c>
      <c r="B86" t="s">
        <v>50</v>
      </c>
      <c r="C86" t="s">
        <v>14</v>
      </c>
      <c r="D86">
        <v>164</v>
      </c>
      <c r="E86" t="s">
        <v>20</v>
      </c>
      <c r="F86" t="s">
        <v>260</v>
      </c>
      <c r="H86" t="s">
        <v>30</v>
      </c>
      <c r="I86" t="s">
        <v>36</v>
      </c>
      <c r="J86" t="s">
        <v>37</v>
      </c>
    </row>
    <row r="87" spans="1:10">
      <c r="A87" t="s">
        <v>261</v>
      </c>
      <c r="B87" t="s">
        <v>153</v>
      </c>
      <c r="C87" t="s">
        <v>14</v>
      </c>
      <c r="D87">
        <v>169</v>
      </c>
      <c r="E87" t="s">
        <v>20</v>
      </c>
      <c r="F87" t="s">
        <v>262</v>
      </c>
      <c r="H87" t="s">
        <v>28</v>
      </c>
      <c r="I87" t="s">
        <v>34</v>
      </c>
      <c r="J87" t="s">
        <v>37</v>
      </c>
    </row>
    <row r="88" spans="1:10">
      <c r="A88" t="s">
        <v>263</v>
      </c>
      <c r="B88" t="s">
        <v>130</v>
      </c>
      <c r="C88" t="s">
        <v>12</v>
      </c>
      <c r="D88">
        <v>91</v>
      </c>
      <c r="E88" t="s">
        <v>16</v>
      </c>
      <c r="F88" t="s">
        <v>264</v>
      </c>
      <c r="G88" t="s">
        <v>265</v>
      </c>
      <c r="H88" t="s">
        <v>30</v>
      </c>
      <c r="I88" t="s">
        <v>36</v>
      </c>
      <c r="J88" t="s">
        <v>37</v>
      </c>
    </row>
    <row r="89" spans="1:10">
      <c r="A89" t="s">
        <v>266</v>
      </c>
      <c r="B89" t="s">
        <v>130</v>
      </c>
      <c r="C89" t="s">
        <v>12</v>
      </c>
      <c r="D89">
        <v>122</v>
      </c>
      <c r="E89" t="s">
        <v>16</v>
      </c>
      <c r="F89" t="s">
        <v>159</v>
      </c>
      <c r="G89" t="s">
        <v>267</v>
      </c>
      <c r="H89" t="s">
        <v>27</v>
      </c>
      <c r="I89" t="s">
        <v>31</v>
      </c>
      <c r="J89" t="s">
        <v>37</v>
      </c>
    </row>
    <row r="90" spans="1:10">
      <c r="A90" t="s">
        <v>268</v>
      </c>
      <c r="B90" t="s">
        <v>150</v>
      </c>
      <c r="C90" t="s">
        <v>13</v>
      </c>
      <c r="D90">
        <v>536</v>
      </c>
      <c r="E90" t="s">
        <v>21</v>
      </c>
      <c r="F90" t="s">
        <v>269</v>
      </c>
      <c r="H90" t="s">
        <v>29</v>
      </c>
      <c r="I90" t="s">
        <v>32</v>
      </c>
      <c r="J90" t="s">
        <v>37</v>
      </c>
    </row>
    <row r="91" spans="1:10">
      <c r="A91" t="s">
        <v>270</v>
      </c>
      <c r="B91" t="s">
        <v>50</v>
      </c>
      <c r="C91" t="s">
        <v>14</v>
      </c>
      <c r="D91">
        <v>178</v>
      </c>
      <c r="E91" t="s">
        <v>20</v>
      </c>
      <c r="F91" t="s">
        <v>211</v>
      </c>
      <c r="H91" t="s">
        <v>30</v>
      </c>
      <c r="I91" t="s">
        <v>34</v>
      </c>
      <c r="J91" t="s">
        <v>37</v>
      </c>
    </row>
    <row r="92" spans="1:10">
      <c r="A92" t="s">
        <v>271</v>
      </c>
      <c r="B92" t="s">
        <v>150</v>
      </c>
      <c r="C92" t="s">
        <v>13</v>
      </c>
      <c r="D92">
        <v>4643</v>
      </c>
      <c r="E92" t="s">
        <v>21</v>
      </c>
      <c r="F92" t="s">
        <v>272</v>
      </c>
      <c r="H92" t="s">
        <v>26</v>
      </c>
      <c r="I92" t="s">
        <v>36</v>
      </c>
      <c r="J92" t="s">
        <v>37</v>
      </c>
    </row>
    <row r="93" spans="1:10">
      <c r="A93" t="s">
        <v>273</v>
      </c>
      <c r="B93" t="s">
        <v>97</v>
      </c>
      <c r="C93" t="s">
        <v>12</v>
      </c>
      <c r="D93">
        <v>173</v>
      </c>
      <c r="E93" t="s">
        <v>16</v>
      </c>
      <c r="F93" t="s">
        <v>230</v>
      </c>
      <c r="G93" t="s">
        <v>274</v>
      </c>
      <c r="H93" t="s">
        <v>27</v>
      </c>
      <c r="I93" t="s">
        <v>33</v>
      </c>
      <c r="J93" t="s">
        <v>37</v>
      </c>
    </row>
    <row r="94" spans="1:10">
      <c r="A94" t="s">
        <v>275</v>
      </c>
      <c r="B94" t="s">
        <v>150</v>
      </c>
      <c r="C94" t="s">
        <v>13</v>
      </c>
      <c r="D94">
        <v>923</v>
      </c>
      <c r="E94" t="s">
        <v>21</v>
      </c>
      <c r="F94" t="s">
        <v>211</v>
      </c>
      <c r="H94" t="s">
        <v>27</v>
      </c>
      <c r="I94" t="s">
        <v>33</v>
      </c>
      <c r="J94" t="s">
        <v>37</v>
      </c>
    </row>
    <row r="95" spans="1:10">
      <c r="A95" t="s">
        <v>276</v>
      </c>
      <c r="B95" t="s">
        <v>69</v>
      </c>
      <c r="C95" t="s">
        <v>13</v>
      </c>
      <c r="D95">
        <v>639</v>
      </c>
      <c r="E95" t="s">
        <v>21</v>
      </c>
      <c r="F95" t="s">
        <v>277</v>
      </c>
      <c r="H95" t="s">
        <v>28</v>
      </c>
      <c r="I95" t="s">
        <v>33</v>
      </c>
      <c r="J95" t="s">
        <v>37</v>
      </c>
    </row>
    <row r="96" spans="1:10">
      <c r="A96" t="s">
        <v>278</v>
      </c>
      <c r="B96" t="s">
        <v>63</v>
      </c>
      <c r="C96" t="s">
        <v>13</v>
      </c>
      <c r="D96">
        <v>1377</v>
      </c>
      <c r="E96" t="s">
        <v>21</v>
      </c>
      <c r="F96" t="s">
        <v>279</v>
      </c>
      <c r="H96" t="s">
        <v>29</v>
      </c>
      <c r="I96" t="s">
        <v>31</v>
      </c>
      <c r="J96" t="s">
        <v>37</v>
      </c>
    </row>
    <row r="97" spans="1:10">
      <c r="A97" t="s">
        <v>280</v>
      </c>
      <c r="B97" t="s">
        <v>150</v>
      </c>
      <c r="C97" t="s">
        <v>13</v>
      </c>
      <c r="D97">
        <v>2429</v>
      </c>
      <c r="E97" t="s">
        <v>21</v>
      </c>
      <c r="F97" t="s">
        <v>61</v>
      </c>
      <c r="H97" t="s">
        <v>30</v>
      </c>
      <c r="I97" t="s">
        <v>35</v>
      </c>
      <c r="J97" t="s">
        <v>37</v>
      </c>
    </row>
    <row r="98" spans="1:10">
      <c r="A98" t="s">
        <v>281</v>
      </c>
      <c r="B98" t="s">
        <v>215</v>
      </c>
      <c r="C98" t="s">
        <v>14</v>
      </c>
      <c r="D98">
        <v>52</v>
      </c>
      <c r="E98" t="s">
        <v>20</v>
      </c>
      <c r="F98" t="s">
        <v>282</v>
      </c>
      <c r="H98" t="s">
        <v>28</v>
      </c>
      <c r="I98" t="s">
        <v>32</v>
      </c>
      <c r="J98" t="s">
        <v>37</v>
      </c>
    </row>
    <row r="99" spans="1:10">
      <c r="A99" t="s">
        <v>283</v>
      </c>
      <c r="B99" t="s">
        <v>101</v>
      </c>
      <c r="C99" t="s">
        <v>12</v>
      </c>
      <c r="D99">
        <v>460</v>
      </c>
      <c r="E99" t="s">
        <v>16</v>
      </c>
      <c r="F99" t="s">
        <v>284</v>
      </c>
      <c r="G99" t="s">
        <v>180</v>
      </c>
      <c r="H99" t="s">
        <v>26</v>
      </c>
      <c r="I99" t="s">
        <v>33</v>
      </c>
      <c r="J99" t="s">
        <v>40</v>
      </c>
    </row>
    <row r="100" spans="1:10">
      <c r="A100" t="s">
        <v>285</v>
      </c>
      <c r="B100" t="s">
        <v>53</v>
      </c>
      <c r="C100" t="s">
        <v>14</v>
      </c>
      <c r="D100">
        <v>43</v>
      </c>
      <c r="E100" t="s">
        <v>20</v>
      </c>
      <c r="F100" t="s">
        <v>228</v>
      </c>
      <c r="H100" t="s">
        <v>30</v>
      </c>
      <c r="I100" t="s">
        <v>31</v>
      </c>
      <c r="J100" t="s">
        <v>38</v>
      </c>
    </row>
    <row r="101" spans="1:10">
      <c r="A101" t="s">
        <v>286</v>
      </c>
      <c r="B101" t="s">
        <v>164</v>
      </c>
      <c r="C101" t="s">
        <v>14</v>
      </c>
      <c r="D101">
        <v>29</v>
      </c>
      <c r="E101" t="s">
        <v>20</v>
      </c>
      <c r="F101" t="s">
        <v>249</v>
      </c>
      <c r="H101" t="s">
        <v>26</v>
      </c>
      <c r="I101" t="s">
        <v>31</v>
      </c>
      <c r="J101" t="s">
        <v>38</v>
      </c>
    </row>
    <row r="102" spans="1:10">
      <c r="A102" t="s">
        <v>287</v>
      </c>
      <c r="B102" t="s">
        <v>118</v>
      </c>
      <c r="C102" t="s">
        <v>12</v>
      </c>
      <c r="D102">
        <v>123</v>
      </c>
      <c r="E102" t="s">
        <v>16</v>
      </c>
      <c r="F102" t="s">
        <v>288</v>
      </c>
      <c r="G102" t="s">
        <v>289</v>
      </c>
      <c r="H102" t="s">
        <v>26</v>
      </c>
      <c r="I102" t="s">
        <v>34</v>
      </c>
      <c r="J102" t="s">
        <v>37</v>
      </c>
    </row>
    <row r="103" spans="1:10">
      <c r="A103" t="s">
        <v>290</v>
      </c>
      <c r="B103" t="s">
        <v>69</v>
      </c>
      <c r="C103" t="s">
        <v>13</v>
      </c>
      <c r="D103">
        <v>1423</v>
      </c>
      <c r="E103" t="s">
        <v>21</v>
      </c>
      <c r="F103" t="s">
        <v>291</v>
      </c>
      <c r="H103" t="s">
        <v>29</v>
      </c>
      <c r="I103" t="s">
        <v>32</v>
      </c>
      <c r="J103" t="s">
        <v>37</v>
      </c>
    </row>
    <row r="104" spans="1:10">
      <c r="A104" t="s">
        <v>292</v>
      </c>
      <c r="B104" t="s">
        <v>60</v>
      </c>
      <c r="C104" t="s">
        <v>14</v>
      </c>
      <c r="D104">
        <v>38</v>
      </c>
      <c r="E104" t="s">
        <v>20</v>
      </c>
      <c r="F104" t="s">
        <v>293</v>
      </c>
      <c r="H104" t="s">
        <v>26</v>
      </c>
      <c r="I104" t="s">
        <v>36</v>
      </c>
      <c r="J104" t="s">
        <v>38</v>
      </c>
    </row>
    <row r="105" spans="1:10">
      <c r="A105" t="s">
        <v>294</v>
      </c>
      <c r="B105" t="s">
        <v>118</v>
      </c>
      <c r="C105" t="s">
        <v>12</v>
      </c>
      <c r="D105">
        <v>319</v>
      </c>
      <c r="E105" t="s">
        <v>16</v>
      </c>
      <c r="F105" t="s">
        <v>295</v>
      </c>
      <c r="G105" t="s">
        <v>296</v>
      </c>
      <c r="H105" t="s">
        <v>27</v>
      </c>
      <c r="I105" t="s">
        <v>34</v>
      </c>
      <c r="J105" t="s">
        <v>37</v>
      </c>
    </row>
    <row r="106" spans="1:10">
      <c r="A106" t="s">
        <v>297</v>
      </c>
      <c r="B106" t="s">
        <v>85</v>
      </c>
      <c r="C106" t="s">
        <v>12</v>
      </c>
      <c r="D106">
        <v>365</v>
      </c>
      <c r="E106" t="s">
        <v>16</v>
      </c>
      <c r="F106" t="s">
        <v>298</v>
      </c>
      <c r="G106" t="s">
        <v>299</v>
      </c>
      <c r="H106" t="s">
        <v>29</v>
      </c>
      <c r="I106" t="s">
        <v>34</v>
      </c>
      <c r="J106" t="s">
        <v>37</v>
      </c>
    </row>
    <row r="107" spans="1:10">
      <c r="A107" t="s">
        <v>300</v>
      </c>
      <c r="B107" t="s">
        <v>204</v>
      </c>
      <c r="C107" t="s">
        <v>13</v>
      </c>
      <c r="D107">
        <v>1127</v>
      </c>
      <c r="E107" t="s">
        <v>21</v>
      </c>
      <c r="F107" t="s">
        <v>301</v>
      </c>
      <c r="H107" t="s">
        <v>29</v>
      </c>
      <c r="I107" t="s">
        <v>33</v>
      </c>
      <c r="J107" t="s">
        <v>37</v>
      </c>
    </row>
    <row r="108" spans="1:10">
      <c r="A108" t="s">
        <v>302</v>
      </c>
      <c r="B108" t="s">
        <v>248</v>
      </c>
      <c r="C108" t="s">
        <v>14</v>
      </c>
      <c r="D108">
        <v>167</v>
      </c>
      <c r="E108" t="s">
        <v>20</v>
      </c>
      <c r="F108" t="s">
        <v>303</v>
      </c>
      <c r="H108" t="s">
        <v>28</v>
      </c>
      <c r="I108" t="s">
        <v>35</v>
      </c>
      <c r="J108" t="s">
        <v>37</v>
      </c>
    </row>
    <row r="109" spans="1:10">
      <c r="A109" t="s">
        <v>304</v>
      </c>
      <c r="B109" t="s">
        <v>69</v>
      </c>
      <c r="C109" t="s">
        <v>13</v>
      </c>
      <c r="D109">
        <v>674</v>
      </c>
      <c r="E109" t="s">
        <v>21</v>
      </c>
      <c r="F109" t="s">
        <v>305</v>
      </c>
      <c r="H109" t="s">
        <v>28</v>
      </c>
      <c r="I109" t="s">
        <v>35</v>
      </c>
      <c r="J109" t="s">
        <v>37</v>
      </c>
    </row>
    <row r="110" spans="1:10">
      <c r="A110" t="s">
        <v>306</v>
      </c>
      <c r="B110" t="s">
        <v>69</v>
      </c>
      <c r="C110" t="s">
        <v>13</v>
      </c>
      <c r="D110">
        <v>570</v>
      </c>
      <c r="E110" t="s">
        <v>21</v>
      </c>
      <c r="F110" t="s">
        <v>307</v>
      </c>
      <c r="H110" t="s">
        <v>26</v>
      </c>
      <c r="I110" t="s">
        <v>31</v>
      </c>
      <c r="J110" t="s">
        <v>37</v>
      </c>
    </row>
    <row r="111" spans="1:10">
      <c r="A111" t="s">
        <v>308</v>
      </c>
      <c r="B111" t="s">
        <v>53</v>
      </c>
      <c r="C111" t="s">
        <v>14</v>
      </c>
      <c r="D111">
        <v>121</v>
      </c>
      <c r="E111" t="s">
        <v>20</v>
      </c>
      <c r="F111" t="s">
        <v>309</v>
      </c>
      <c r="H111" t="s">
        <v>26</v>
      </c>
      <c r="I111" t="s">
        <v>31</v>
      </c>
      <c r="J111" t="s">
        <v>37</v>
      </c>
    </row>
    <row r="112" spans="1:10">
      <c r="A112" t="s">
        <v>310</v>
      </c>
      <c r="B112" t="s">
        <v>204</v>
      </c>
      <c r="C112" t="s">
        <v>13</v>
      </c>
      <c r="D112">
        <v>2880</v>
      </c>
      <c r="E112" t="s">
        <v>21</v>
      </c>
      <c r="F112" t="s">
        <v>303</v>
      </c>
      <c r="H112" t="s">
        <v>28</v>
      </c>
      <c r="I112" t="s">
        <v>31</v>
      </c>
      <c r="J112" t="s">
        <v>37</v>
      </c>
    </row>
    <row r="113" spans="1:10">
      <c r="A113" t="s">
        <v>311</v>
      </c>
      <c r="B113" t="s">
        <v>118</v>
      </c>
      <c r="C113" t="s">
        <v>12</v>
      </c>
      <c r="D113">
        <v>196</v>
      </c>
      <c r="E113" t="s">
        <v>16</v>
      </c>
      <c r="F113" t="s">
        <v>298</v>
      </c>
      <c r="G113" t="s">
        <v>312</v>
      </c>
      <c r="H113" t="s">
        <v>26</v>
      </c>
      <c r="I113" t="s">
        <v>33</v>
      </c>
      <c r="J113" t="s">
        <v>37</v>
      </c>
    </row>
    <row r="114" spans="1:10">
      <c r="A114" t="s">
        <v>313</v>
      </c>
      <c r="B114" t="s">
        <v>56</v>
      </c>
      <c r="C114" t="s">
        <v>12</v>
      </c>
      <c r="D114">
        <v>130</v>
      </c>
      <c r="E114" t="s">
        <v>16</v>
      </c>
      <c r="F114" t="s">
        <v>314</v>
      </c>
      <c r="G114" t="s">
        <v>315</v>
      </c>
      <c r="H114" t="s">
        <v>28</v>
      </c>
      <c r="I114" t="s">
        <v>33</v>
      </c>
      <c r="J114" t="s">
        <v>37</v>
      </c>
    </row>
    <row r="115" spans="1:10">
      <c r="A115" t="s">
        <v>316</v>
      </c>
      <c r="B115" t="s">
        <v>125</v>
      </c>
      <c r="C115" t="s">
        <v>12</v>
      </c>
      <c r="D115">
        <v>263</v>
      </c>
      <c r="E115" t="s">
        <v>16</v>
      </c>
      <c r="F115" t="s">
        <v>317</v>
      </c>
      <c r="G115" t="s">
        <v>318</v>
      </c>
      <c r="H115" t="s">
        <v>28</v>
      </c>
      <c r="I115" t="s">
        <v>31</v>
      </c>
      <c r="J115" t="s">
        <v>39</v>
      </c>
    </row>
    <row r="116" spans="1:10">
      <c r="A116" t="s">
        <v>319</v>
      </c>
      <c r="B116" t="s">
        <v>150</v>
      </c>
      <c r="C116" t="s">
        <v>13</v>
      </c>
      <c r="D116">
        <v>4555</v>
      </c>
      <c r="E116" t="s">
        <v>21</v>
      </c>
      <c r="F116" t="s">
        <v>320</v>
      </c>
      <c r="H116" t="s">
        <v>28</v>
      </c>
      <c r="I116" t="s">
        <v>31</v>
      </c>
      <c r="J116" t="s">
        <v>37</v>
      </c>
    </row>
    <row r="117" spans="1:10">
      <c r="A117" t="s">
        <v>321</v>
      </c>
      <c r="B117" t="s">
        <v>53</v>
      </c>
      <c r="C117" t="s">
        <v>14</v>
      </c>
      <c r="D117">
        <v>17</v>
      </c>
      <c r="E117" t="s">
        <v>20</v>
      </c>
      <c r="F117" t="s">
        <v>207</v>
      </c>
      <c r="H117" t="s">
        <v>27</v>
      </c>
      <c r="I117" t="s">
        <v>31</v>
      </c>
      <c r="J117" t="s">
        <v>38</v>
      </c>
    </row>
    <row r="118" spans="1:10">
      <c r="A118" t="s">
        <v>322</v>
      </c>
      <c r="B118" t="s">
        <v>91</v>
      </c>
      <c r="C118" t="s">
        <v>13</v>
      </c>
      <c r="D118">
        <v>2082</v>
      </c>
      <c r="E118" t="s">
        <v>21</v>
      </c>
      <c r="F118" t="s">
        <v>323</v>
      </c>
      <c r="H118" t="s">
        <v>29</v>
      </c>
      <c r="I118" t="s">
        <v>36</v>
      </c>
      <c r="J118" t="s">
        <v>37</v>
      </c>
    </row>
    <row r="119" spans="1:10">
      <c r="A119" t="s">
        <v>324</v>
      </c>
      <c r="B119" t="s">
        <v>85</v>
      </c>
      <c r="C119" t="s">
        <v>12</v>
      </c>
      <c r="D119">
        <v>214</v>
      </c>
      <c r="E119" t="s">
        <v>16</v>
      </c>
      <c r="F119" t="s">
        <v>325</v>
      </c>
      <c r="G119" t="s">
        <v>326</v>
      </c>
      <c r="H119" t="s">
        <v>30</v>
      </c>
      <c r="I119" t="s">
        <v>32</v>
      </c>
      <c r="J119" t="s">
        <v>37</v>
      </c>
    </row>
    <row r="120" spans="1:10">
      <c r="A120" t="s">
        <v>327</v>
      </c>
      <c r="B120" t="s">
        <v>204</v>
      </c>
      <c r="C120" t="s">
        <v>13</v>
      </c>
      <c r="D120">
        <v>2754</v>
      </c>
      <c r="E120" t="s">
        <v>21</v>
      </c>
      <c r="F120" t="s">
        <v>328</v>
      </c>
      <c r="H120" t="s">
        <v>27</v>
      </c>
      <c r="I120" t="s">
        <v>32</v>
      </c>
      <c r="J120" t="s">
        <v>37</v>
      </c>
    </row>
    <row r="121" spans="1:10">
      <c r="A121" t="s">
        <v>329</v>
      </c>
      <c r="B121" t="s">
        <v>130</v>
      </c>
      <c r="C121" t="s">
        <v>12</v>
      </c>
      <c r="D121">
        <v>138</v>
      </c>
      <c r="E121" t="s">
        <v>16</v>
      </c>
      <c r="F121" t="s">
        <v>330</v>
      </c>
      <c r="G121" t="s">
        <v>331</v>
      </c>
      <c r="H121" t="s">
        <v>29</v>
      </c>
      <c r="I121" t="s">
        <v>36</v>
      </c>
      <c r="J121" t="s">
        <v>37</v>
      </c>
    </row>
    <row r="122" spans="1:10">
      <c r="A122" t="s">
        <v>332</v>
      </c>
      <c r="B122" t="s">
        <v>139</v>
      </c>
      <c r="C122" t="s">
        <v>14</v>
      </c>
      <c r="D122">
        <v>12</v>
      </c>
      <c r="E122" t="s">
        <v>20</v>
      </c>
      <c r="F122" t="s">
        <v>333</v>
      </c>
      <c r="H122" t="s">
        <v>29</v>
      </c>
      <c r="I122" t="s">
        <v>34</v>
      </c>
      <c r="J122" t="s">
        <v>38</v>
      </c>
    </row>
    <row r="123" spans="1:10">
      <c r="A123" t="s">
        <v>334</v>
      </c>
      <c r="B123" t="s">
        <v>69</v>
      </c>
      <c r="C123" t="s">
        <v>13</v>
      </c>
      <c r="D123">
        <v>4927</v>
      </c>
      <c r="E123" t="s">
        <v>21</v>
      </c>
      <c r="F123" t="s">
        <v>307</v>
      </c>
      <c r="H123" t="s">
        <v>28</v>
      </c>
      <c r="I123" t="s">
        <v>31</v>
      </c>
      <c r="J123" t="s">
        <v>37</v>
      </c>
    </row>
    <row r="124" spans="1:10">
      <c r="A124" t="s">
        <v>335</v>
      </c>
      <c r="B124" t="s">
        <v>94</v>
      </c>
      <c r="C124" t="s">
        <v>14</v>
      </c>
      <c r="D124">
        <v>153</v>
      </c>
      <c r="E124" t="s">
        <v>20</v>
      </c>
      <c r="F124" t="s">
        <v>336</v>
      </c>
      <c r="H124" t="s">
        <v>30</v>
      </c>
      <c r="I124" t="s">
        <v>35</v>
      </c>
      <c r="J124" t="s">
        <v>37</v>
      </c>
    </row>
    <row r="125" spans="1:10">
      <c r="A125" t="s">
        <v>337</v>
      </c>
      <c r="B125" t="s">
        <v>118</v>
      </c>
      <c r="C125" t="s">
        <v>12</v>
      </c>
      <c r="D125">
        <v>292</v>
      </c>
      <c r="E125" t="s">
        <v>16</v>
      </c>
      <c r="F125" t="s">
        <v>338</v>
      </c>
      <c r="G125" t="s">
        <v>339</v>
      </c>
      <c r="H125" t="s">
        <v>29</v>
      </c>
      <c r="I125" t="s">
        <v>34</v>
      </c>
      <c r="J125" t="s">
        <v>39</v>
      </c>
    </row>
    <row r="126" spans="1:10">
      <c r="A126" t="s">
        <v>340</v>
      </c>
      <c r="B126" t="s">
        <v>69</v>
      </c>
      <c r="C126" t="s">
        <v>13</v>
      </c>
      <c r="D126">
        <v>1019</v>
      </c>
      <c r="E126" t="s">
        <v>21</v>
      </c>
      <c r="F126" t="s">
        <v>341</v>
      </c>
      <c r="H126" t="s">
        <v>26</v>
      </c>
      <c r="I126" t="s">
        <v>32</v>
      </c>
      <c r="J126" t="s">
        <v>37</v>
      </c>
    </row>
    <row r="127" spans="1:10">
      <c r="A127" t="s">
        <v>342</v>
      </c>
      <c r="B127" t="s">
        <v>53</v>
      </c>
      <c r="C127" t="s">
        <v>14</v>
      </c>
      <c r="D127">
        <v>185</v>
      </c>
      <c r="E127" t="s">
        <v>20</v>
      </c>
      <c r="F127" t="s">
        <v>343</v>
      </c>
      <c r="H127" t="s">
        <v>30</v>
      </c>
      <c r="I127" t="s">
        <v>31</v>
      </c>
      <c r="J127" t="s">
        <v>37</v>
      </c>
    </row>
    <row r="128" spans="1:10">
      <c r="A128" t="s">
        <v>344</v>
      </c>
      <c r="B128" t="s">
        <v>79</v>
      </c>
      <c r="C128" t="s">
        <v>12</v>
      </c>
      <c r="D128">
        <v>433</v>
      </c>
      <c r="E128" t="s">
        <v>16</v>
      </c>
      <c r="F128" t="s">
        <v>345</v>
      </c>
      <c r="G128" t="s">
        <v>346</v>
      </c>
      <c r="H128" t="s">
        <v>29</v>
      </c>
      <c r="I128" t="s">
        <v>33</v>
      </c>
      <c r="J128" t="s">
        <v>37</v>
      </c>
    </row>
    <row r="129" spans="1:10">
      <c r="A129" t="s">
        <v>347</v>
      </c>
      <c r="B129" t="s">
        <v>97</v>
      </c>
      <c r="C129" t="s">
        <v>12</v>
      </c>
      <c r="D129">
        <v>330</v>
      </c>
      <c r="E129" t="s">
        <v>16</v>
      </c>
      <c r="F129" t="s">
        <v>348</v>
      </c>
      <c r="G129" t="s">
        <v>349</v>
      </c>
      <c r="H129" t="s">
        <v>28</v>
      </c>
      <c r="I129" t="s">
        <v>35</v>
      </c>
      <c r="J129" t="s">
        <v>37</v>
      </c>
    </row>
    <row r="130" spans="1:10">
      <c r="A130" t="s">
        <v>350</v>
      </c>
      <c r="B130" t="s">
        <v>85</v>
      </c>
      <c r="C130" t="s">
        <v>12</v>
      </c>
      <c r="D130">
        <v>97</v>
      </c>
      <c r="E130" t="s">
        <v>16</v>
      </c>
      <c r="F130" t="s">
        <v>351</v>
      </c>
      <c r="G130" t="s">
        <v>352</v>
      </c>
      <c r="H130" t="s">
        <v>28</v>
      </c>
      <c r="I130" t="s">
        <v>35</v>
      </c>
      <c r="J130" t="s">
        <v>37</v>
      </c>
    </row>
    <row r="131" spans="1:10">
      <c r="A131" t="s">
        <v>353</v>
      </c>
      <c r="B131" t="s">
        <v>97</v>
      </c>
      <c r="C131" t="s">
        <v>12</v>
      </c>
      <c r="D131">
        <v>203</v>
      </c>
      <c r="E131" t="s">
        <v>16</v>
      </c>
      <c r="F131" t="s">
        <v>354</v>
      </c>
      <c r="G131" t="s">
        <v>355</v>
      </c>
      <c r="H131" t="s">
        <v>26</v>
      </c>
      <c r="I131" t="s">
        <v>36</v>
      </c>
      <c r="J131" t="s">
        <v>37</v>
      </c>
    </row>
    <row r="132" spans="1:10">
      <c r="A132" t="s">
        <v>356</v>
      </c>
      <c r="B132" t="s">
        <v>248</v>
      </c>
      <c r="C132" t="s">
        <v>14</v>
      </c>
      <c r="D132">
        <v>127</v>
      </c>
      <c r="E132" t="s">
        <v>20</v>
      </c>
      <c r="F132" t="s">
        <v>357</v>
      </c>
      <c r="H132" t="s">
        <v>29</v>
      </c>
      <c r="I132" t="s">
        <v>32</v>
      </c>
      <c r="J132" t="s">
        <v>37</v>
      </c>
    </row>
    <row r="133" spans="1:10">
      <c r="A133" t="s">
        <v>358</v>
      </c>
      <c r="B133" t="s">
        <v>204</v>
      </c>
      <c r="C133" t="s">
        <v>13</v>
      </c>
      <c r="D133">
        <v>2337</v>
      </c>
      <c r="E133" t="s">
        <v>21</v>
      </c>
      <c r="F133" t="s">
        <v>359</v>
      </c>
      <c r="H133" t="s">
        <v>30</v>
      </c>
      <c r="I133" t="s">
        <v>31</v>
      </c>
      <c r="J133" t="s">
        <v>37</v>
      </c>
    </row>
    <row r="134" spans="1:10">
      <c r="A134" t="s">
        <v>360</v>
      </c>
      <c r="B134" t="s">
        <v>60</v>
      </c>
      <c r="C134" t="s">
        <v>14</v>
      </c>
      <c r="D134">
        <v>192</v>
      </c>
      <c r="E134" t="s">
        <v>20</v>
      </c>
      <c r="F134" t="s">
        <v>361</v>
      </c>
      <c r="H134" t="s">
        <v>28</v>
      </c>
      <c r="I134" t="s">
        <v>36</v>
      </c>
      <c r="J134" t="s">
        <v>37</v>
      </c>
    </row>
    <row r="135" spans="1:10">
      <c r="A135" t="s">
        <v>362</v>
      </c>
      <c r="B135" t="s">
        <v>85</v>
      </c>
      <c r="C135" t="s">
        <v>12</v>
      </c>
      <c r="D135">
        <v>141</v>
      </c>
      <c r="E135" t="s">
        <v>16</v>
      </c>
      <c r="F135" t="s">
        <v>333</v>
      </c>
      <c r="G135" t="s">
        <v>363</v>
      </c>
      <c r="H135" t="s">
        <v>29</v>
      </c>
      <c r="I135" t="s">
        <v>31</v>
      </c>
      <c r="J135" t="s">
        <v>39</v>
      </c>
    </row>
    <row r="136" spans="1:10">
      <c r="A136" t="s">
        <v>364</v>
      </c>
      <c r="B136" t="s">
        <v>204</v>
      </c>
      <c r="C136" t="s">
        <v>13</v>
      </c>
      <c r="D136">
        <v>122</v>
      </c>
      <c r="E136" t="s">
        <v>21</v>
      </c>
      <c r="F136" t="s">
        <v>134</v>
      </c>
      <c r="H136" t="s">
        <v>28</v>
      </c>
      <c r="I136" t="s">
        <v>31</v>
      </c>
      <c r="J136" t="s">
        <v>37</v>
      </c>
    </row>
    <row r="137" spans="1:10">
      <c r="A137" t="s">
        <v>365</v>
      </c>
      <c r="B137" t="s">
        <v>125</v>
      </c>
      <c r="C137" t="s">
        <v>12</v>
      </c>
      <c r="D137">
        <v>236</v>
      </c>
      <c r="E137" t="s">
        <v>16</v>
      </c>
      <c r="F137" t="s">
        <v>366</v>
      </c>
      <c r="G137" t="s">
        <v>367</v>
      </c>
      <c r="H137" t="s">
        <v>27</v>
      </c>
      <c r="I137" t="s">
        <v>36</v>
      </c>
      <c r="J137" t="s">
        <v>37</v>
      </c>
    </row>
    <row r="138" spans="1:10">
      <c r="A138" t="s">
        <v>368</v>
      </c>
      <c r="B138" t="s">
        <v>150</v>
      </c>
      <c r="C138" t="s">
        <v>13</v>
      </c>
      <c r="D138">
        <v>3062</v>
      </c>
      <c r="E138" t="s">
        <v>21</v>
      </c>
      <c r="F138" t="s">
        <v>369</v>
      </c>
      <c r="H138" t="s">
        <v>27</v>
      </c>
      <c r="I138" t="s">
        <v>34</v>
      </c>
      <c r="J138" t="s">
        <v>37</v>
      </c>
    </row>
    <row r="139" spans="1:10">
      <c r="A139" t="s">
        <v>370</v>
      </c>
      <c r="B139" t="s">
        <v>105</v>
      </c>
      <c r="C139" t="s">
        <v>12</v>
      </c>
      <c r="D139">
        <v>386</v>
      </c>
      <c r="E139" t="s">
        <v>16</v>
      </c>
      <c r="F139" t="s">
        <v>371</v>
      </c>
      <c r="G139" t="s">
        <v>372</v>
      </c>
      <c r="H139" t="s">
        <v>29</v>
      </c>
      <c r="I139" t="s">
        <v>32</v>
      </c>
      <c r="J139" t="s">
        <v>40</v>
      </c>
    </row>
    <row r="140" spans="1:10">
      <c r="A140" t="s">
        <v>373</v>
      </c>
      <c r="B140" t="s">
        <v>74</v>
      </c>
      <c r="C140" t="s">
        <v>13</v>
      </c>
      <c r="D140">
        <v>1254</v>
      </c>
      <c r="E140" t="s">
        <v>21</v>
      </c>
      <c r="F140" t="s">
        <v>374</v>
      </c>
      <c r="H140" t="s">
        <v>27</v>
      </c>
      <c r="I140" t="s">
        <v>32</v>
      </c>
      <c r="J140" t="s">
        <v>37</v>
      </c>
    </row>
    <row r="141" spans="1:10">
      <c r="A141" t="s">
        <v>375</v>
      </c>
      <c r="B141" t="s">
        <v>63</v>
      </c>
      <c r="C141" t="s">
        <v>13</v>
      </c>
      <c r="D141">
        <v>2825</v>
      </c>
      <c r="E141" t="s">
        <v>21</v>
      </c>
      <c r="F141" t="s">
        <v>376</v>
      </c>
      <c r="H141" t="s">
        <v>29</v>
      </c>
      <c r="I141" t="s">
        <v>32</v>
      </c>
      <c r="J141" t="s">
        <v>37</v>
      </c>
    </row>
    <row r="142" spans="1:10">
      <c r="A142" t="s">
        <v>377</v>
      </c>
      <c r="B142" t="s">
        <v>74</v>
      </c>
      <c r="C142" t="s">
        <v>13</v>
      </c>
      <c r="D142">
        <v>4012</v>
      </c>
      <c r="E142" t="s">
        <v>21</v>
      </c>
      <c r="F142" t="s">
        <v>80</v>
      </c>
      <c r="H142" t="s">
        <v>28</v>
      </c>
      <c r="I142" t="s">
        <v>31</v>
      </c>
      <c r="J142" t="s">
        <v>37</v>
      </c>
    </row>
    <row r="143" spans="1:10">
      <c r="A143" t="s">
        <v>378</v>
      </c>
      <c r="B143" t="s">
        <v>204</v>
      </c>
      <c r="C143" t="s">
        <v>13</v>
      </c>
      <c r="D143">
        <v>877</v>
      </c>
      <c r="E143" t="s">
        <v>21</v>
      </c>
      <c r="F143" t="s">
        <v>80</v>
      </c>
      <c r="H143" t="s">
        <v>27</v>
      </c>
      <c r="I143" t="s">
        <v>33</v>
      </c>
      <c r="J143" t="s">
        <v>37</v>
      </c>
    </row>
    <row r="144" spans="1:10">
      <c r="A144" t="s">
        <v>379</v>
      </c>
      <c r="B144" t="s">
        <v>204</v>
      </c>
      <c r="C144" t="s">
        <v>13</v>
      </c>
      <c r="D144">
        <v>3392</v>
      </c>
      <c r="E144" t="s">
        <v>21</v>
      </c>
      <c r="F144" t="s">
        <v>380</v>
      </c>
      <c r="H144" t="s">
        <v>29</v>
      </c>
      <c r="I144" t="s">
        <v>32</v>
      </c>
      <c r="J144" t="s">
        <v>37</v>
      </c>
    </row>
    <row r="145" spans="1:10">
      <c r="A145" t="s">
        <v>381</v>
      </c>
      <c r="B145" t="s">
        <v>79</v>
      </c>
      <c r="C145" t="s">
        <v>12</v>
      </c>
      <c r="D145">
        <v>452</v>
      </c>
      <c r="E145" t="s">
        <v>16</v>
      </c>
      <c r="F145" t="s">
        <v>162</v>
      </c>
      <c r="G145" t="s">
        <v>265</v>
      </c>
      <c r="H145" t="s">
        <v>26</v>
      </c>
      <c r="I145" t="s">
        <v>36</v>
      </c>
      <c r="J145" t="s">
        <v>37</v>
      </c>
    </row>
    <row r="146" spans="1:10">
      <c r="A146" t="s">
        <v>382</v>
      </c>
      <c r="B146" t="s">
        <v>85</v>
      </c>
      <c r="C146" t="s">
        <v>12</v>
      </c>
      <c r="D146">
        <v>292</v>
      </c>
      <c r="E146" t="s">
        <v>16</v>
      </c>
      <c r="F146" t="s">
        <v>383</v>
      </c>
      <c r="G146" t="s">
        <v>355</v>
      </c>
      <c r="H146" t="s">
        <v>28</v>
      </c>
      <c r="I146" t="s">
        <v>36</v>
      </c>
      <c r="J146" t="s">
        <v>37</v>
      </c>
    </row>
    <row r="147" spans="1:10">
      <c r="A147" t="s">
        <v>384</v>
      </c>
      <c r="B147" t="s">
        <v>79</v>
      </c>
      <c r="C147" t="s">
        <v>12</v>
      </c>
      <c r="D147">
        <v>348</v>
      </c>
      <c r="E147" t="s">
        <v>16</v>
      </c>
      <c r="F147" t="s">
        <v>385</v>
      </c>
      <c r="G147" t="s">
        <v>386</v>
      </c>
      <c r="H147" t="s">
        <v>26</v>
      </c>
      <c r="I147" t="s">
        <v>31</v>
      </c>
      <c r="J147" t="s">
        <v>37</v>
      </c>
    </row>
    <row r="148" spans="1:10">
      <c r="A148" t="s">
        <v>387</v>
      </c>
      <c r="B148" t="s">
        <v>204</v>
      </c>
      <c r="C148" t="s">
        <v>13</v>
      </c>
      <c r="D148">
        <v>1922</v>
      </c>
      <c r="E148" t="s">
        <v>21</v>
      </c>
      <c r="F148" t="s">
        <v>388</v>
      </c>
      <c r="H148" t="s">
        <v>30</v>
      </c>
      <c r="I148" t="s">
        <v>36</v>
      </c>
      <c r="J148" t="s">
        <v>37</v>
      </c>
    </row>
    <row r="149" spans="1:10">
      <c r="A149" t="s">
        <v>389</v>
      </c>
      <c r="B149" t="s">
        <v>91</v>
      </c>
      <c r="C149" t="s">
        <v>13</v>
      </c>
      <c r="D149">
        <v>2291</v>
      </c>
      <c r="E149" t="s">
        <v>21</v>
      </c>
      <c r="F149" t="s">
        <v>390</v>
      </c>
      <c r="H149" t="s">
        <v>28</v>
      </c>
      <c r="I149" t="s">
        <v>36</v>
      </c>
      <c r="J149" t="s">
        <v>37</v>
      </c>
    </row>
    <row r="150" spans="1:10">
      <c r="A150" t="s">
        <v>391</v>
      </c>
      <c r="B150" t="s">
        <v>150</v>
      </c>
      <c r="C150" t="s">
        <v>13</v>
      </c>
      <c r="D150">
        <v>470</v>
      </c>
      <c r="E150" t="s">
        <v>21</v>
      </c>
      <c r="F150" t="s">
        <v>354</v>
      </c>
      <c r="H150" t="s">
        <v>29</v>
      </c>
      <c r="I150" t="s">
        <v>32</v>
      </c>
      <c r="J150" t="s">
        <v>37</v>
      </c>
    </row>
    <row r="151" spans="1:10">
      <c r="A151" t="s">
        <v>392</v>
      </c>
      <c r="B151" t="s">
        <v>153</v>
      </c>
      <c r="C151" t="s">
        <v>14</v>
      </c>
      <c r="D151">
        <v>85</v>
      </c>
      <c r="E151" t="s">
        <v>20</v>
      </c>
      <c r="F151" t="s">
        <v>393</v>
      </c>
      <c r="H151" t="s">
        <v>26</v>
      </c>
      <c r="I151" t="s">
        <v>35</v>
      </c>
      <c r="J151" t="s">
        <v>37</v>
      </c>
    </row>
    <row r="152" spans="1:10">
      <c r="A152" t="s">
        <v>394</v>
      </c>
      <c r="B152" t="s">
        <v>94</v>
      </c>
      <c r="C152" t="s">
        <v>14</v>
      </c>
      <c r="D152">
        <v>104</v>
      </c>
      <c r="E152" t="s">
        <v>20</v>
      </c>
      <c r="F152" t="s">
        <v>395</v>
      </c>
      <c r="H152" t="s">
        <v>26</v>
      </c>
      <c r="I152" t="s">
        <v>32</v>
      </c>
      <c r="J152" t="s">
        <v>37</v>
      </c>
    </row>
    <row r="153" spans="1:10">
      <c r="A153" t="s">
        <v>396</v>
      </c>
      <c r="B153" t="s">
        <v>91</v>
      </c>
      <c r="C153" t="s">
        <v>13</v>
      </c>
      <c r="D153">
        <v>4780</v>
      </c>
      <c r="E153" t="s">
        <v>21</v>
      </c>
      <c r="F153" t="s">
        <v>361</v>
      </c>
      <c r="H153" t="s">
        <v>27</v>
      </c>
      <c r="I153" t="s">
        <v>36</v>
      </c>
      <c r="J153" t="s">
        <v>37</v>
      </c>
    </row>
    <row r="154" spans="1:10">
      <c r="A154" t="s">
        <v>397</v>
      </c>
      <c r="B154" t="s">
        <v>153</v>
      </c>
      <c r="C154" t="s">
        <v>14</v>
      </c>
      <c r="D154">
        <v>28</v>
      </c>
      <c r="E154" t="s">
        <v>20</v>
      </c>
      <c r="F154" t="s">
        <v>398</v>
      </c>
      <c r="H154" t="s">
        <v>26</v>
      </c>
      <c r="I154" t="s">
        <v>32</v>
      </c>
      <c r="J154" t="s">
        <v>38</v>
      </c>
    </row>
    <row r="155" spans="1:10">
      <c r="A155" t="s">
        <v>399</v>
      </c>
      <c r="B155" t="s">
        <v>50</v>
      </c>
      <c r="C155" t="s">
        <v>14</v>
      </c>
      <c r="D155">
        <v>78</v>
      </c>
      <c r="E155" t="s">
        <v>20</v>
      </c>
      <c r="F155" t="s">
        <v>400</v>
      </c>
      <c r="H155" t="s">
        <v>30</v>
      </c>
      <c r="I155" t="s">
        <v>36</v>
      </c>
      <c r="J155" t="s">
        <v>37</v>
      </c>
    </row>
    <row r="156" spans="1:10">
      <c r="A156" t="s">
        <v>401</v>
      </c>
      <c r="B156" t="s">
        <v>125</v>
      </c>
      <c r="C156" t="s">
        <v>12</v>
      </c>
      <c r="D156">
        <v>107</v>
      </c>
      <c r="E156" t="s">
        <v>16</v>
      </c>
      <c r="F156" t="s">
        <v>402</v>
      </c>
      <c r="G156" t="s">
        <v>234</v>
      </c>
      <c r="H156" t="s">
        <v>26</v>
      </c>
      <c r="I156" t="s">
        <v>36</v>
      </c>
      <c r="J156" t="s">
        <v>37</v>
      </c>
    </row>
    <row r="157" spans="1:10">
      <c r="A157" t="s">
        <v>403</v>
      </c>
      <c r="B157" t="s">
        <v>215</v>
      </c>
      <c r="C157" t="s">
        <v>14</v>
      </c>
      <c r="D157">
        <v>178</v>
      </c>
      <c r="E157" t="s">
        <v>20</v>
      </c>
      <c r="F157" t="s">
        <v>354</v>
      </c>
      <c r="H157" t="s">
        <v>26</v>
      </c>
      <c r="I157" t="s">
        <v>34</v>
      </c>
      <c r="J157" t="s">
        <v>37</v>
      </c>
    </row>
    <row r="158" spans="1:10">
      <c r="A158" t="s">
        <v>404</v>
      </c>
      <c r="B158" t="s">
        <v>97</v>
      </c>
      <c r="C158" t="s">
        <v>12</v>
      </c>
      <c r="D158">
        <v>197</v>
      </c>
      <c r="E158" t="s">
        <v>16</v>
      </c>
      <c r="F158" t="s">
        <v>264</v>
      </c>
      <c r="G158" t="s">
        <v>171</v>
      </c>
      <c r="H158" t="s">
        <v>30</v>
      </c>
      <c r="I158" t="s">
        <v>33</v>
      </c>
      <c r="J158" t="s">
        <v>40</v>
      </c>
    </row>
    <row r="159" spans="1:10">
      <c r="A159" t="s">
        <v>405</v>
      </c>
      <c r="B159" t="s">
        <v>74</v>
      </c>
      <c r="C159" t="s">
        <v>13</v>
      </c>
      <c r="D159">
        <v>713</v>
      </c>
      <c r="E159" t="s">
        <v>21</v>
      </c>
      <c r="F159" t="s">
        <v>406</v>
      </c>
      <c r="H159" t="s">
        <v>30</v>
      </c>
      <c r="I159" t="s">
        <v>33</v>
      </c>
      <c r="J159" t="s">
        <v>37</v>
      </c>
    </row>
    <row r="160" spans="1:10">
      <c r="A160" t="s">
        <v>407</v>
      </c>
      <c r="B160" t="s">
        <v>63</v>
      </c>
      <c r="C160" t="s">
        <v>13</v>
      </c>
      <c r="D160">
        <v>2299</v>
      </c>
      <c r="E160" t="s">
        <v>21</v>
      </c>
      <c r="F160" t="s">
        <v>408</v>
      </c>
      <c r="H160" t="s">
        <v>30</v>
      </c>
      <c r="I160" t="s">
        <v>32</v>
      </c>
      <c r="J160" t="s">
        <v>37</v>
      </c>
    </row>
    <row r="161" spans="1:10">
      <c r="A161" t="s">
        <v>409</v>
      </c>
      <c r="B161" t="s">
        <v>204</v>
      </c>
      <c r="C161" t="s">
        <v>13</v>
      </c>
      <c r="D161">
        <v>4430</v>
      </c>
      <c r="E161" t="s">
        <v>21</v>
      </c>
      <c r="F161" t="s">
        <v>410</v>
      </c>
      <c r="H161" t="s">
        <v>28</v>
      </c>
      <c r="I161" t="s">
        <v>32</v>
      </c>
      <c r="J161" t="s">
        <v>37</v>
      </c>
    </row>
    <row r="162" spans="1:10">
      <c r="A162" t="s">
        <v>411</v>
      </c>
      <c r="B162" t="s">
        <v>94</v>
      </c>
      <c r="C162" t="s">
        <v>14</v>
      </c>
      <c r="D162">
        <v>164</v>
      </c>
      <c r="E162" t="s">
        <v>20</v>
      </c>
      <c r="F162" t="s">
        <v>412</v>
      </c>
      <c r="H162" t="s">
        <v>27</v>
      </c>
      <c r="I162" t="s">
        <v>35</v>
      </c>
      <c r="J162" t="s">
        <v>37</v>
      </c>
    </row>
    <row r="163" spans="1:10">
      <c r="A163" t="s">
        <v>413</v>
      </c>
      <c r="B163" t="s">
        <v>101</v>
      </c>
      <c r="C163" t="s">
        <v>12</v>
      </c>
      <c r="D163">
        <v>419</v>
      </c>
      <c r="E163" t="s">
        <v>16</v>
      </c>
      <c r="F163" t="s">
        <v>213</v>
      </c>
      <c r="G163" t="s">
        <v>414</v>
      </c>
      <c r="H163" t="s">
        <v>30</v>
      </c>
      <c r="I163" t="s">
        <v>35</v>
      </c>
      <c r="J163" t="s">
        <v>37</v>
      </c>
    </row>
    <row r="164" spans="1:10">
      <c r="A164" t="s">
        <v>415</v>
      </c>
      <c r="B164" t="s">
        <v>63</v>
      </c>
      <c r="C164" t="s">
        <v>13</v>
      </c>
      <c r="D164">
        <v>4022</v>
      </c>
      <c r="E164" t="s">
        <v>21</v>
      </c>
      <c r="F164" t="s">
        <v>416</v>
      </c>
      <c r="H164" t="s">
        <v>29</v>
      </c>
      <c r="I164" t="s">
        <v>32</v>
      </c>
      <c r="J164" t="s">
        <v>37</v>
      </c>
    </row>
    <row r="165" spans="1:10">
      <c r="A165" t="s">
        <v>417</v>
      </c>
      <c r="B165" t="s">
        <v>50</v>
      </c>
      <c r="C165" t="s">
        <v>14</v>
      </c>
      <c r="D165">
        <v>154</v>
      </c>
      <c r="E165" t="s">
        <v>20</v>
      </c>
      <c r="F165" t="s">
        <v>418</v>
      </c>
      <c r="H165" t="s">
        <v>27</v>
      </c>
      <c r="I165" t="s">
        <v>33</v>
      </c>
      <c r="J165" t="s">
        <v>37</v>
      </c>
    </row>
    <row r="166" spans="1:10">
      <c r="A166" t="s">
        <v>419</v>
      </c>
      <c r="B166" t="s">
        <v>91</v>
      </c>
      <c r="C166" t="s">
        <v>13</v>
      </c>
      <c r="D166">
        <v>3458</v>
      </c>
      <c r="E166" t="s">
        <v>21</v>
      </c>
      <c r="F166" t="s">
        <v>236</v>
      </c>
      <c r="H166" t="s">
        <v>27</v>
      </c>
      <c r="I166" t="s">
        <v>34</v>
      </c>
      <c r="J166" t="s">
        <v>37</v>
      </c>
    </row>
    <row r="167" spans="1:10">
      <c r="A167" t="s">
        <v>420</v>
      </c>
      <c r="B167" t="s">
        <v>153</v>
      </c>
      <c r="C167" t="s">
        <v>14</v>
      </c>
      <c r="D167">
        <v>63</v>
      </c>
      <c r="E167" t="s">
        <v>20</v>
      </c>
      <c r="F167" t="s">
        <v>385</v>
      </c>
      <c r="H167" t="s">
        <v>28</v>
      </c>
      <c r="I167" t="s">
        <v>34</v>
      </c>
      <c r="J167" t="s">
        <v>37</v>
      </c>
    </row>
    <row r="168" spans="1:10">
      <c r="A168" t="s">
        <v>421</v>
      </c>
      <c r="B168" t="s">
        <v>215</v>
      </c>
      <c r="C168" t="s">
        <v>14</v>
      </c>
      <c r="D168">
        <v>107</v>
      </c>
      <c r="E168" t="s">
        <v>20</v>
      </c>
      <c r="F168" t="s">
        <v>216</v>
      </c>
      <c r="H168" t="s">
        <v>29</v>
      </c>
      <c r="I168" t="s">
        <v>33</v>
      </c>
      <c r="J168" t="s">
        <v>37</v>
      </c>
    </row>
    <row r="169" spans="1:10">
      <c r="A169" t="s">
        <v>422</v>
      </c>
      <c r="B169" t="s">
        <v>150</v>
      </c>
      <c r="C169" t="s">
        <v>13</v>
      </c>
      <c r="D169">
        <v>2435</v>
      </c>
      <c r="E169" t="s">
        <v>21</v>
      </c>
      <c r="F169" t="s">
        <v>423</v>
      </c>
      <c r="H169" t="s">
        <v>26</v>
      </c>
      <c r="I169" t="s">
        <v>34</v>
      </c>
      <c r="J169" t="s">
        <v>37</v>
      </c>
    </row>
    <row r="170" spans="1:10">
      <c r="A170" t="s">
        <v>424</v>
      </c>
      <c r="B170" t="s">
        <v>125</v>
      </c>
      <c r="C170" t="s">
        <v>12</v>
      </c>
      <c r="D170">
        <v>69</v>
      </c>
      <c r="E170" t="s">
        <v>16</v>
      </c>
      <c r="F170" t="s">
        <v>369</v>
      </c>
      <c r="G170" t="s">
        <v>425</v>
      </c>
      <c r="H170" t="s">
        <v>28</v>
      </c>
      <c r="I170" t="s">
        <v>32</v>
      </c>
      <c r="J170" t="s">
        <v>37</v>
      </c>
    </row>
    <row r="171" spans="1:10">
      <c r="A171" t="s">
        <v>426</v>
      </c>
      <c r="B171" t="s">
        <v>139</v>
      </c>
      <c r="C171" t="s">
        <v>14</v>
      </c>
      <c r="D171">
        <v>99</v>
      </c>
      <c r="E171" t="s">
        <v>20</v>
      </c>
      <c r="F171" t="s">
        <v>427</v>
      </c>
      <c r="H171" t="s">
        <v>27</v>
      </c>
      <c r="I171" t="s">
        <v>33</v>
      </c>
      <c r="J171" t="s">
        <v>37</v>
      </c>
    </row>
    <row r="172" spans="1:10">
      <c r="A172" t="s">
        <v>428</v>
      </c>
      <c r="B172" t="s">
        <v>66</v>
      </c>
      <c r="C172" t="s">
        <v>14</v>
      </c>
      <c r="D172">
        <v>92</v>
      </c>
      <c r="E172" t="s">
        <v>20</v>
      </c>
      <c r="F172" t="s">
        <v>269</v>
      </c>
      <c r="H172" t="s">
        <v>26</v>
      </c>
      <c r="I172" t="s">
        <v>34</v>
      </c>
      <c r="J172" t="s">
        <v>37</v>
      </c>
    </row>
    <row r="173" spans="1:10">
      <c r="A173" t="s">
        <v>429</v>
      </c>
      <c r="B173" t="s">
        <v>125</v>
      </c>
      <c r="C173" t="s">
        <v>12</v>
      </c>
      <c r="D173">
        <v>401</v>
      </c>
      <c r="E173" t="s">
        <v>16</v>
      </c>
      <c r="F173" t="s">
        <v>430</v>
      </c>
      <c r="G173" t="s">
        <v>431</v>
      </c>
      <c r="H173" t="s">
        <v>30</v>
      </c>
      <c r="I173" t="s">
        <v>35</v>
      </c>
      <c r="J173" t="s">
        <v>37</v>
      </c>
    </row>
    <row r="174" spans="1:10">
      <c r="A174" t="s">
        <v>432</v>
      </c>
      <c r="B174" t="s">
        <v>74</v>
      </c>
      <c r="C174" t="s">
        <v>13</v>
      </c>
      <c r="D174">
        <v>3142</v>
      </c>
      <c r="E174" t="s">
        <v>21</v>
      </c>
      <c r="F174" t="s">
        <v>433</v>
      </c>
      <c r="H174" t="s">
        <v>29</v>
      </c>
      <c r="I174" t="s">
        <v>33</v>
      </c>
      <c r="J174" t="s">
        <v>37</v>
      </c>
    </row>
    <row r="175" spans="1:10">
      <c r="A175" t="s">
        <v>434</v>
      </c>
      <c r="B175" t="s">
        <v>91</v>
      </c>
      <c r="C175" t="s">
        <v>13</v>
      </c>
      <c r="D175">
        <v>441</v>
      </c>
      <c r="E175" t="s">
        <v>21</v>
      </c>
      <c r="F175" t="s">
        <v>435</v>
      </c>
      <c r="H175" t="s">
        <v>30</v>
      </c>
      <c r="I175" t="s">
        <v>36</v>
      </c>
      <c r="J175" t="s">
        <v>37</v>
      </c>
    </row>
    <row r="176" spans="1:10">
      <c r="A176" t="s">
        <v>436</v>
      </c>
      <c r="B176" t="s">
        <v>150</v>
      </c>
      <c r="C176" t="s">
        <v>13</v>
      </c>
      <c r="D176">
        <v>1459</v>
      </c>
      <c r="E176" t="s">
        <v>21</v>
      </c>
      <c r="F176" t="s">
        <v>437</v>
      </c>
      <c r="H176" t="s">
        <v>26</v>
      </c>
      <c r="I176" t="s">
        <v>35</v>
      </c>
      <c r="J176" t="s">
        <v>37</v>
      </c>
    </row>
    <row r="177" spans="1:10">
      <c r="A177" t="s">
        <v>438</v>
      </c>
      <c r="B177" t="s">
        <v>204</v>
      </c>
      <c r="C177" t="s">
        <v>13</v>
      </c>
      <c r="D177">
        <v>2255</v>
      </c>
      <c r="E177" t="s">
        <v>21</v>
      </c>
      <c r="F177" t="s">
        <v>439</v>
      </c>
      <c r="H177" t="s">
        <v>28</v>
      </c>
      <c r="I177" t="s">
        <v>31</v>
      </c>
      <c r="J177" t="s">
        <v>37</v>
      </c>
    </row>
    <row r="178" spans="1:10">
      <c r="A178" t="s">
        <v>440</v>
      </c>
      <c r="B178" t="s">
        <v>153</v>
      </c>
      <c r="C178" t="s">
        <v>14</v>
      </c>
      <c r="D178">
        <v>57</v>
      </c>
      <c r="E178" t="s">
        <v>20</v>
      </c>
      <c r="F178" t="s">
        <v>416</v>
      </c>
      <c r="H178" t="s">
        <v>26</v>
      </c>
      <c r="I178" t="s">
        <v>34</v>
      </c>
      <c r="J178" t="s">
        <v>37</v>
      </c>
    </row>
    <row r="179" spans="1:10">
      <c r="A179" t="s">
        <v>441</v>
      </c>
      <c r="B179" t="s">
        <v>153</v>
      </c>
      <c r="C179" t="s">
        <v>14</v>
      </c>
      <c r="D179">
        <v>132</v>
      </c>
      <c r="E179" t="s">
        <v>20</v>
      </c>
      <c r="F179" t="s">
        <v>151</v>
      </c>
      <c r="H179" t="s">
        <v>27</v>
      </c>
      <c r="I179" t="s">
        <v>31</v>
      </c>
      <c r="J179" t="s">
        <v>37</v>
      </c>
    </row>
    <row r="180" spans="1:10">
      <c r="A180" t="s">
        <v>442</v>
      </c>
      <c r="B180" t="s">
        <v>248</v>
      </c>
      <c r="C180" t="s">
        <v>14</v>
      </c>
      <c r="D180">
        <v>194</v>
      </c>
      <c r="E180" t="s">
        <v>20</v>
      </c>
      <c r="F180" t="s">
        <v>314</v>
      </c>
      <c r="H180" t="s">
        <v>30</v>
      </c>
      <c r="I180" t="s">
        <v>31</v>
      </c>
      <c r="J180" t="s">
        <v>37</v>
      </c>
    </row>
    <row r="181" spans="1:10">
      <c r="A181" t="s">
        <v>443</v>
      </c>
      <c r="B181" t="s">
        <v>53</v>
      </c>
      <c r="C181" t="s">
        <v>14</v>
      </c>
      <c r="D181">
        <v>5</v>
      </c>
      <c r="E181" t="s">
        <v>20</v>
      </c>
      <c r="F181" t="s">
        <v>317</v>
      </c>
      <c r="H181" t="s">
        <v>29</v>
      </c>
      <c r="I181" t="s">
        <v>36</v>
      </c>
      <c r="J181" t="s">
        <v>38</v>
      </c>
    </row>
    <row r="182" spans="1:10">
      <c r="A182" t="s">
        <v>444</v>
      </c>
      <c r="B182" t="s">
        <v>69</v>
      </c>
      <c r="C182" t="s">
        <v>13</v>
      </c>
      <c r="D182">
        <v>867</v>
      </c>
      <c r="E182" t="s">
        <v>21</v>
      </c>
      <c r="F182" t="s">
        <v>445</v>
      </c>
      <c r="H182" t="s">
        <v>27</v>
      </c>
      <c r="I182" t="s">
        <v>33</v>
      </c>
      <c r="J182" t="s">
        <v>37</v>
      </c>
    </row>
    <row r="183" spans="1:10">
      <c r="A183" t="s">
        <v>446</v>
      </c>
      <c r="B183" t="s">
        <v>204</v>
      </c>
      <c r="C183" t="s">
        <v>13</v>
      </c>
      <c r="D183">
        <v>3453</v>
      </c>
      <c r="E183" t="s">
        <v>21</v>
      </c>
      <c r="F183" t="s">
        <v>240</v>
      </c>
      <c r="H183" t="s">
        <v>29</v>
      </c>
      <c r="I183" t="s">
        <v>36</v>
      </c>
      <c r="J183" t="s">
        <v>37</v>
      </c>
    </row>
    <row r="184" spans="1:10">
      <c r="A184" t="s">
        <v>447</v>
      </c>
      <c r="B184" t="s">
        <v>139</v>
      </c>
      <c r="C184" t="s">
        <v>14</v>
      </c>
      <c r="D184">
        <v>110</v>
      </c>
      <c r="E184" t="s">
        <v>20</v>
      </c>
      <c r="F184" t="s">
        <v>448</v>
      </c>
      <c r="H184" t="s">
        <v>28</v>
      </c>
      <c r="I184" t="s">
        <v>32</v>
      </c>
      <c r="J184" t="s">
        <v>37</v>
      </c>
    </row>
    <row r="185" spans="1:10">
      <c r="A185" t="s">
        <v>449</v>
      </c>
      <c r="B185" t="s">
        <v>74</v>
      </c>
      <c r="C185" t="s">
        <v>13</v>
      </c>
      <c r="D185">
        <v>759</v>
      </c>
      <c r="E185" t="s">
        <v>21</v>
      </c>
      <c r="F185" t="s">
        <v>450</v>
      </c>
      <c r="H185" t="s">
        <v>26</v>
      </c>
      <c r="I185" t="s">
        <v>32</v>
      </c>
      <c r="J185" t="s">
        <v>37</v>
      </c>
    </row>
    <row r="186" spans="1:10">
      <c r="A186" t="s">
        <v>451</v>
      </c>
      <c r="B186" t="s">
        <v>66</v>
      </c>
      <c r="C186" t="s">
        <v>14</v>
      </c>
      <c r="D186">
        <v>33</v>
      </c>
      <c r="E186" t="s">
        <v>20</v>
      </c>
      <c r="F186" t="s">
        <v>295</v>
      </c>
      <c r="H186" t="s">
        <v>26</v>
      </c>
      <c r="I186" t="s">
        <v>32</v>
      </c>
      <c r="J186" t="s">
        <v>38</v>
      </c>
    </row>
    <row r="187" spans="1:10">
      <c r="A187" t="s">
        <v>452</v>
      </c>
      <c r="B187" t="s">
        <v>105</v>
      </c>
      <c r="C187" t="s">
        <v>12</v>
      </c>
      <c r="D187">
        <v>53</v>
      </c>
      <c r="E187" t="s">
        <v>16</v>
      </c>
      <c r="F187" t="s">
        <v>453</v>
      </c>
      <c r="G187" t="s">
        <v>454</v>
      </c>
      <c r="H187" t="s">
        <v>27</v>
      </c>
      <c r="I187" t="s">
        <v>33</v>
      </c>
      <c r="J187" t="s">
        <v>37</v>
      </c>
    </row>
    <row r="188" spans="1:10">
      <c r="A188" t="s">
        <v>455</v>
      </c>
      <c r="B188" t="s">
        <v>69</v>
      </c>
      <c r="C188" t="s">
        <v>13</v>
      </c>
      <c r="D188">
        <v>1673</v>
      </c>
      <c r="E188" t="s">
        <v>21</v>
      </c>
      <c r="F188" t="s">
        <v>456</v>
      </c>
      <c r="H188" t="s">
        <v>30</v>
      </c>
      <c r="I188" t="s">
        <v>35</v>
      </c>
      <c r="J188" t="s">
        <v>37</v>
      </c>
    </row>
    <row r="189" spans="1:10">
      <c r="A189" t="s">
        <v>457</v>
      </c>
      <c r="B189" t="s">
        <v>139</v>
      </c>
      <c r="C189" t="s">
        <v>14</v>
      </c>
      <c r="D189">
        <v>16</v>
      </c>
      <c r="E189" t="s">
        <v>20</v>
      </c>
      <c r="F189" t="s">
        <v>458</v>
      </c>
      <c r="H189" t="s">
        <v>27</v>
      </c>
      <c r="I189" t="s">
        <v>31</v>
      </c>
      <c r="J189" t="s">
        <v>38</v>
      </c>
    </row>
    <row r="190" spans="1:10">
      <c r="A190" t="s">
        <v>459</v>
      </c>
      <c r="B190" t="s">
        <v>74</v>
      </c>
      <c r="C190" t="s">
        <v>13</v>
      </c>
      <c r="D190">
        <v>3699</v>
      </c>
      <c r="E190" t="s">
        <v>21</v>
      </c>
      <c r="F190" t="s">
        <v>460</v>
      </c>
      <c r="H190" t="s">
        <v>29</v>
      </c>
      <c r="I190" t="s">
        <v>35</v>
      </c>
      <c r="J190" t="s">
        <v>37</v>
      </c>
    </row>
    <row r="191" spans="1:10">
      <c r="A191" t="s">
        <v>461</v>
      </c>
      <c r="B191" t="s">
        <v>85</v>
      </c>
      <c r="C191" t="s">
        <v>12</v>
      </c>
      <c r="D191">
        <v>263</v>
      </c>
      <c r="E191" t="s">
        <v>16</v>
      </c>
      <c r="F191" t="s">
        <v>462</v>
      </c>
      <c r="G191" t="s">
        <v>431</v>
      </c>
      <c r="H191" t="s">
        <v>29</v>
      </c>
      <c r="I191" t="s">
        <v>31</v>
      </c>
      <c r="J191" t="s">
        <v>37</v>
      </c>
    </row>
    <row r="192" spans="1:10">
      <c r="A192" t="s">
        <v>463</v>
      </c>
      <c r="B192" t="s">
        <v>114</v>
      </c>
      <c r="C192" t="s">
        <v>12</v>
      </c>
      <c r="D192">
        <v>82</v>
      </c>
      <c r="E192" t="s">
        <v>16</v>
      </c>
      <c r="F192" t="s">
        <v>464</v>
      </c>
      <c r="G192" t="s">
        <v>465</v>
      </c>
      <c r="H192" t="s">
        <v>28</v>
      </c>
      <c r="I192" t="s">
        <v>33</v>
      </c>
      <c r="J192" t="s">
        <v>37</v>
      </c>
    </row>
    <row r="193" spans="1:10">
      <c r="A193" t="s">
        <v>466</v>
      </c>
      <c r="B193" t="s">
        <v>105</v>
      </c>
      <c r="C193" t="s">
        <v>12</v>
      </c>
      <c r="D193">
        <v>111</v>
      </c>
      <c r="E193" t="s">
        <v>16</v>
      </c>
      <c r="F193" t="s">
        <v>467</v>
      </c>
      <c r="G193" t="s">
        <v>468</v>
      </c>
      <c r="H193" t="s">
        <v>28</v>
      </c>
      <c r="I193" t="s">
        <v>34</v>
      </c>
      <c r="J193" t="s">
        <v>37</v>
      </c>
    </row>
    <row r="194" spans="1:10">
      <c r="A194" t="s">
        <v>469</v>
      </c>
      <c r="B194" t="s">
        <v>50</v>
      </c>
      <c r="C194" t="s">
        <v>14</v>
      </c>
      <c r="D194">
        <v>196</v>
      </c>
      <c r="E194" t="s">
        <v>20</v>
      </c>
      <c r="F194" t="s">
        <v>470</v>
      </c>
      <c r="H194" t="s">
        <v>30</v>
      </c>
      <c r="I194" t="s">
        <v>32</v>
      </c>
      <c r="J194" t="s">
        <v>37</v>
      </c>
    </row>
    <row r="195" spans="1:10">
      <c r="A195" t="s">
        <v>471</v>
      </c>
      <c r="B195" t="s">
        <v>101</v>
      </c>
      <c r="C195" t="s">
        <v>12</v>
      </c>
      <c r="D195">
        <v>60</v>
      </c>
      <c r="E195" t="s">
        <v>16</v>
      </c>
      <c r="F195" t="s">
        <v>472</v>
      </c>
      <c r="G195" t="s">
        <v>473</v>
      </c>
      <c r="H195" t="s">
        <v>27</v>
      </c>
      <c r="I195" t="s">
        <v>33</v>
      </c>
      <c r="J195" t="s">
        <v>39</v>
      </c>
    </row>
    <row r="196" spans="1:10">
      <c r="A196" t="s">
        <v>474</v>
      </c>
      <c r="B196" t="s">
        <v>215</v>
      </c>
      <c r="C196" t="s">
        <v>14</v>
      </c>
      <c r="D196">
        <v>178</v>
      </c>
      <c r="E196" t="s">
        <v>20</v>
      </c>
      <c r="F196" t="s">
        <v>475</v>
      </c>
      <c r="H196" t="s">
        <v>28</v>
      </c>
      <c r="I196" t="s">
        <v>32</v>
      </c>
      <c r="J196" t="s">
        <v>37</v>
      </c>
    </row>
    <row r="197" spans="1:10">
      <c r="A197" t="s">
        <v>476</v>
      </c>
      <c r="B197" t="s">
        <v>60</v>
      </c>
      <c r="C197" t="s">
        <v>14</v>
      </c>
      <c r="D197">
        <v>151</v>
      </c>
      <c r="E197" t="s">
        <v>20</v>
      </c>
      <c r="F197" t="s">
        <v>406</v>
      </c>
      <c r="H197" t="s">
        <v>30</v>
      </c>
      <c r="I197" t="s">
        <v>34</v>
      </c>
      <c r="J197" t="s">
        <v>37</v>
      </c>
    </row>
    <row r="198" spans="1:10">
      <c r="A198" t="s">
        <v>477</v>
      </c>
      <c r="B198" t="s">
        <v>69</v>
      </c>
      <c r="C198" t="s">
        <v>13</v>
      </c>
      <c r="D198">
        <v>4215</v>
      </c>
      <c r="E198" t="s">
        <v>21</v>
      </c>
      <c r="F198" t="s">
        <v>159</v>
      </c>
      <c r="H198" t="s">
        <v>30</v>
      </c>
      <c r="I198" t="s">
        <v>33</v>
      </c>
      <c r="J198" t="s">
        <v>37</v>
      </c>
    </row>
    <row r="199" spans="1:10">
      <c r="A199" t="s">
        <v>478</v>
      </c>
      <c r="B199" t="s">
        <v>130</v>
      </c>
      <c r="C199" t="s">
        <v>12</v>
      </c>
      <c r="D199">
        <v>319</v>
      </c>
      <c r="E199" t="s">
        <v>16</v>
      </c>
      <c r="F199" t="s">
        <v>479</v>
      </c>
      <c r="G199" t="s">
        <v>480</v>
      </c>
      <c r="H199" t="s">
        <v>26</v>
      </c>
      <c r="I199" t="s">
        <v>34</v>
      </c>
      <c r="J199" t="s">
        <v>39</v>
      </c>
    </row>
    <row r="200" spans="1:10">
      <c r="A200" t="s">
        <v>481</v>
      </c>
      <c r="B200" t="s">
        <v>91</v>
      </c>
      <c r="C200" t="s">
        <v>13</v>
      </c>
      <c r="D200">
        <v>4666</v>
      </c>
      <c r="E200" t="s">
        <v>21</v>
      </c>
      <c r="F200" t="s">
        <v>482</v>
      </c>
      <c r="H200" t="s">
        <v>28</v>
      </c>
      <c r="I200" t="s">
        <v>36</v>
      </c>
      <c r="J200" t="s">
        <v>37</v>
      </c>
    </row>
    <row r="201" spans="1:10">
      <c r="A201" t="s">
        <v>483</v>
      </c>
      <c r="B201" t="s">
        <v>150</v>
      </c>
      <c r="C201" t="s">
        <v>13</v>
      </c>
      <c r="D201">
        <v>3927</v>
      </c>
      <c r="E201" t="s">
        <v>21</v>
      </c>
      <c r="F201" t="s">
        <v>309</v>
      </c>
      <c r="H201" t="s">
        <v>28</v>
      </c>
      <c r="I201" t="s">
        <v>33</v>
      </c>
      <c r="J201" t="s">
        <v>37</v>
      </c>
    </row>
  </sheetData>
  <conditionalFormatting sqref="D1:D201">
    <cfRule type="cellIs" dxfId="12" priority="9" operator="lessThan">
      <formula>50</formula>
    </cfRule>
  </conditionalFormatting>
  <conditionalFormatting sqref="G4:G201">
    <cfRule type="expression" dxfId="11" priority="7">
      <formula>AND($G5&lt;&gt;"",$G5&lt;=TODAY()+30,$G5&gt;=TODAY())</formula>
    </cfRule>
    <cfRule type="expression" dxfId="10" priority="8">
      <formula>AND($G5&lt;&gt;"",$G5&lt;=TODAY()+30,$G5&gt;=TODAY())</formula>
    </cfRule>
  </conditionalFormatting>
  <conditionalFormatting sqref="G3">
    <cfRule type="expression" dxfId="9" priority="12">
      <formula>AND(#REF!&lt;&gt;"",#REF!&lt;=TODAY()+30,#REF!&gt;=TODAY())</formula>
    </cfRule>
    <cfRule type="expression" dxfId="8" priority="13">
      <formula>AND(#REF!&lt;&gt;"",#REF!&lt;=TODAY()+30,#REF!&gt;=TODAY())</formula>
    </cfRule>
  </conditionalFormatting>
  <conditionalFormatting sqref="G1">
    <cfRule type="expression" dxfId="7" priority="14">
      <formula>AND($G3&lt;&gt;"",$G3&lt;=TODAY()+30,$G3&gt;=TODAY())</formula>
    </cfRule>
    <cfRule type="expression" dxfId="6" priority="15">
      <formula>AND($G3&lt;&gt;"",$G3&lt;=TODAY()+30,$G3&gt;=TODAY())</formula>
    </cfRule>
  </conditionalFormatting>
  <conditionalFormatting sqref="G1:G201">
    <cfRule type="expression" dxfId="5" priority="6">
      <formula>AND($G2&lt;&gt;"",$G2&lt;TODAY())</formula>
    </cfRule>
  </conditionalFormatting>
  <conditionalFormatting sqref="J1:J201">
    <cfRule type="cellIs" dxfId="4" priority="1" operator="equal">
      <formula>"Expired"</formula>
    </cfRule>
    <cfRule type="cellIs" dxfId="3" priority="2" operator="equal">
      <formula>"Expiring Soon"</formula>
    </cfRule>
    <cfRule type="cellIs" dxfId="2" priority="3" operator="equal">
      <formula>"Expiring Soon"</formula>
    </cfRule>
    <cfRule type="cellIs" dxfId="1" priority="4" operator="equal">
      <formula>"Low Stock"</formula>
    </cfRule>
    <cfRule type="cellIs" dxfId="0" priority="5" operator="equal">
      <formula>"Normal"</formula>
    </cfRule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E04A3B-C949-44FB-864B-D51E8360B998}">
  <sheetPr codeName="Sheet4">
    <tabColor rgb="FFFFC000"/>
  </sheetPr>
  <dimension ref="A1:I9"/>
  <sheetViews>
    <sheetView tabSelected="1" workbookViewId="0">
      <selection activeCell="K2" sqref="K2"/>
    </sheetView>
  </sheetViews>
  <sheetFormatPr defaultRowHeight="14.4"/>
  <cols>
    <col min="1" max="1" width="18.77734375" customWidth="1"/>
    <col min="5" max="5" width="16.77734375" customWidth="1"/>
    <col min="7" max="7" width="22.77734375" customWidth="1"/>
    <col min="9" max="9" width="14.77734375" customWidth="1"/>
    <col min="11" max="11" width="16.77734375" customWidth="1"/>
  </cols>
  <sheetData>
    <row r="1" spans="1:9">
      <c r="A1" s="4" t="s">
        <v>11</v>
      </c>
      <c r="B1" s="4"/>
      <c r="C1" s="4" t="s">
        <v>15</v>
      </c>
      <c r="D1" s="4"/>
      <c r="E1" s="4" t="s">
        <v>24</v>
      </c>
      <c r="F1" s="4"/>
      <c r="G1" s="4" t="s">
        <v>25</v>
      </c>
      <c r="H1" s="4"/>
      <c r="I1" s="4" t="s">
        <v>9</v>
      </c>
    </row>
    <row r="2" spans="1:9">
      <c r="A2" s="1" t="s">
        <v>12</v>
      </c>
      <c r="C2" s="1" t="s">
        <v>16</v>
      </c>
      <c r="E2" s="1" t="s">
        <v>31</v>
      </c>
      <c r="G2" s="1" t="s">
        <v>26</v>
      </c>
      <c r="I2" s="1" t="s">
        <v>37</v>
      </c>
    </row>
    <row r="3" spans="1:9">
      <c r="A3" s="1" t="s">
        <v>13</v>
      </c>
      <c r="C3" s="1" t="s">
        <v>17</v>
      </c>
      <c r="E3" s="1" t="s">
        <v>32</v>
      </c>
      <c r="G3" s="1" t="s">
        <v>27</v>
      </c>
      <c r="I3" s="1" t="s">
        <v>38</v>
      </c>
    </row>
    <row r="4" spans="1:9">
      <c r="A4" s="1" t="s">
        <v>14</v>
      </c>
      <c r="C4" s="1" t="s">
        <v>18</v>
      </c>
      <c r="E4" s="1" t="s">
        <v>33</v>
      </c>
      <c r="G4" s="1" t="s">
        <v>28</v>
      </c>
      <c r="I4" s="1" t="s">
        <v>39</v>
      </c>
    </row>
    <row r="5" spans="1:9" ht="28.8">
      <c r="C5" s="1" t="s">
        <v>19</v>
      </c>
      <c r="E5" s="1" t="s">
        <v>34</v>
      </c>
      <c r="G5" s="1" t="s">
        <v>29</v>
      </c>
      <c r="I5" s="1" t="s">
        <v>40</v>
      </c>
    </row>
    <row r="6" spans="1:9">
      <c r="C6" s="1" t="s">
        <v>20</v>
      </c>
      <c r="E6" s="1" t="s">
        <v>35</v>
      </c>
      <c r="G6" s="1" t="s">
        <v>30</v>
      </c>
    </row>
    <row r="7" spans="1:9">
      <c r="C7" s="1" t="s">
        <v>21</v>
      </c>
      <c r="E7" s="1" t="s">
        <v>36</v>
      </c>
    </row>
    <row r="8" spans="1:9">
      <c r="C8" s="1" t="s">
        <v>22</v>
      </c>
    </row>
    <row r="9" spans="1:9">
      <c r="C9" s="1" t="s">
        <v>23</v>
      </c>
    </row>
  </sheetData>
  <dataValidations count="5">
    <dataValidation type="list" allowBlank="1" showInputMessage="1" showErrorMessage="1" sqref="A2:A4" xr:uid="{22E208BD-3BB0-4B66-BBBD-D71B7CA2D5DA}">
      <formula1>$A$2:$A$4</formula1>
    </dataValidation>
    <dataValidation type="list" allowBlank="1" showInputMessage="1" showErrorMessage="1" sqref="C2:C9" xr:uid="{6D108818-7EBF-4415-B611-65C90E63CC92}">
      <formula1>$C$2:$C$9</formula1>
    </dataValidation>
    <dataValidation type="list" allowBlank="1" showInputMessage="1" showErrorMessage="1" sqref="E2:E7" xr:uid="{9C7862CD-D158-41EC-AA96-72041F5F07A3}">
      <formula1>$E$2:$E$7</formula1>
    </dataValidation>
    <dataValidation type="list" allowBlank="1" showInputMessage="1" showErrorMessage="1" sqref="G2:G6" xr:uid="{907578E0-CC96-4605-A044-D8A9397B1C3E}">
      <formula1>$G$2:$G$6</formula1>
    </dataValidation>
    <dataValidation type="list" allowBlank="1" showInputMessage="1" showErrorMessage="1" sqref="I2:I5" xr:uid="{1AFD884D-A716-4003-907C-33A4EFAFD792}">
      <formula1>$I$2:$I$5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86582B-1888-4127-ACC9-D44BC82CFFC3}">
  <sheetPr codeName="Sheet5">
    <tabColor rgb="FFFF6600"/>
  </sheetPr>
  <dimension ref="A1:B13"/>
  <sheetViews>
    <sheetView workbookViewId="0">
      <selection activeCell="J11" sqref="J11"/>
    </sheetView>
  </sheetViews>
  <sheetFormatPr defaultRowHeight="14.4"/>
  <cols>
    <col min="4" max="4" width="18.77734375" customWidth="1"/>
  </cols>
  <sheetData>
    <row r="1" spans="1:2">
      <c r="A1" s="16" t="s">
        <v>493</v>
      </c>
      <c r="B1" s="18" t="s">
        <v>3</v>
      </c>
    </row>
    <row r="2" spans="1:2">
      <c r="A2" s="1" t="s">
        <v>494</v>
      </c>
      <c r="B2" s="17">
        <f>SUMIFS(Inventory!D:D,Inventory!F:F,"&gt;="&amp;DATE(2026,1,1),Inventory!F:F,"&lt;"&amp;DATE(2026,2,1))</f>
        <v>0</v>
      </c>
    </row>
    <row r="3" spans="1:2">
      <c r="A3" s="1" t="s">
        <v>495</v>
      </c>
      <c r="B3" s="17">
        <f>SUMIFS(Inventory!D:D,Inventory!F:F,"&gt;="&amp;DATE(2026,2,1),Inventory!F:F,"&lt;"&amp;DATE(2026,3,1))</f>
        <v>0</v>
      </c>
    </row>
    <row r="4" spans="1:2">
      <c r="A4" s="1" t="s">
        <v>496</v>
      </c>
      <c r="B4">
        <f>SUMIFS(Inventory!D:D,Inventory!F:F,"&gt;="&amp;DATE(2026,3,1),Inventory!F:F,"&lt;"&amp;DATE(2026,4,1))</f>
        <v>0</v>
      </c>
    </row>
    <row r="5" spans="1:2">
      <c r="A5" s="1" t="s">
        <v>497</v>
      </c>
      <c r="B5">
        <f>SUMIFS(Inventory!D:D,Inventory!F:F,"&gt;="&amp;DATE(2026,4,1),Inventory!F:F,"&lt;"&amp;DATE(2026,5,1))</f>
        <v>0</v>
      </c>
    </row>
    <row r="6" spans="1:2">
      <c r="A6" s="1" t="s">
        <v>498</v>
      </c>
      <c r="B6">
        <f>SUMIFS(Inventory!D:D,Inventory!F:F,"&gt;="&amp;DATE(2026,5,1),Inventory!F:F,"&lt;"&amp;DATE(2026,6,1))</f>
        <v>0</v>
      </c>
    </row>
    <row r="7" spans="1:2">
      <c r="A7" s="1" t="s">
        <v>499</v>
      </c>
      <c r="B7">
        <f>SUMIFS(Inventory!D:D,Inventory!F:F,"&gt;="&amp;DATE(2026,6,1),Inventory!F:F,"&lt;"&amp;DATE(2026,7,1))</f>
        <v>0</v>
      </c>
    </row>
    <row r="8" spans="1:2">
      <c r="A8" s="1" t="s">
        <v>500</v>
      </c>
      <c r="B8">
        <f>SUMIFS(Inventory!D:D,Inventory!F:F,"&gt;="&amp;DATE(2026,7,1),Inventory!F:F,"&lt;"&amp;DATE(2026,8,1))</f>
        <v>0</v>
      </c>
    </row>
    <row r="9" spans="1:2">
      <c r="A9" s="1" t="s">
        <v>501</v>
      </c>
      <c r="B9" s="19">
        <f>SUMIFS(Inventory!D:D,Inventory!F:F,"&gt;="&amp;DATE(2026,8,1),Inventory!F:F,"&lt;"&amp;DATE(2026,9,1))</f>
        <v>0</v>
      </c>
    </row>
    <row r="10" spans="1:2">
      <c r="A10" s="1" t="s">
        <v>502</v>
      </c>
      <c r="B10" s="21">
        <f>SUMIFS(Inventory!D:D,Inventory!F:F,"&gt;="&amp;DATE(2026,9,1),Inventory!F:F,"&lt;"&amp;DATE(2026,10,1))</f>
        <v>0</v>
      </c>
    </row>
    <row r="11" spans="1:2">
      <c r="A11" s="1" t="s">
        <v>503</v>
      </c>
      <c r="B11" s="17">
        <f>SUMIFS(Inventory!D:D,Inventory!F:F,"&gt;="&amp;DATE(2026,10,1),Inventory!F:F,"&lt;"&amp;DATE(2026,11,1))</f>
        <v>0</v>
      </c>
    </row>
    <row r="12" spans="1:2">
      <c r="A12" s="1" t="s">
        <v>504</v>
      </c>
      <c r="B12" s="19">
        <f>SUMIFS(Inventory!D:D,Inventory!F:F,"&gt;="&amp;DATE(2026,11,1),Inventory!F:F,"&lt;"&amp;DATE(2026,12,1))</f>
        <v>0</v>
      </c>
    </row>
    <row r="13" spans="1:2">
      <c r="A13" s="1" t="s">
        <v>505</v>
      </c>
      <c r="B13" s="21">
        <f>SUMIFS(Inventory!D:D,Inventory!F:F,"&gt;="&amp;DATE(2026,12,1),Inventory!F:F,"&lt;"&amp;DATE(2027,1,1))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Dashboard</vt:lpstr>
      <vt:lpstr>Inventory</vt:lpstr>
      <vt:lpstr>Lookup</vt:lpstr>
      <vt:lpstr>Reports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Garima Raj</dc:creator>
  <cp:lastModifiedBy>Garima Raj</cp:lastModifiedBy>
  <cp:lastPrinted>2026-08-05T20:24:04Z</cp:lastPrinted>
  <dcterms:created xsi:type="dcterms:W3CDTF">2026-08-05T09:33:08Z</dcterms:created>
  <dcterms:modified xsi:type="dcterms:W3CDTF">2026-08-12T10:32:09Z</dcterms:modified>
</cp:coreProperties>
</file>